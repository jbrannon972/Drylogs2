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m Selection" sheetId="1" r:id="rId3"/>
    <sheet state="visible" name="Daily Time  Readings Log" sheetId="2" r:id="rId4"/>
    <sheet state="visible" name="General Log" sheetId="3" r:id="rId5"/>
    <sheet state="visible" name="Note Log" sheetId="4" r:id="rId6"/>
    <sheet state="hidden" name="Formulas" sheetId="5" r:id="rId7"/>
    <sheet state="hidden" name="Scratch Pad" sheetId="6" r:id="rId8"/>
    <sheet state="hidden" name="Template" sheetId="7" r:id="rId9"/>
    <sheet state="visible" name="Drying Chambers" sheetId="8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These can be outdated if someone removes a sheet. They are updated when a new room is added.</t>
      </text>
    </comment>
    <comment authorId="0" ref="G1">
      <text>
        <t xml:space="preserve">These are only the valid rooms. They are to be used in the calculations, and in the dropdowns.</t>
      </text>
    </comment>
  </commentList>
</comments>
</file>

<file path=xl/sharedStrings.xml><?xml version="1.0" encoding="utf-8"?>
<sst xmlns="http://schemas.openxmlformats.org/spreadsheetml/2006/main" count="345" uniqueCount="285">
  <si>
    <t>- Select Action -</t>
  </si>
  <si>
    <t>Room Affected</t>
  </si>
  <si>
    <t>QTY</t>
  </si>
  <si>
    <t>Kitchen</t>
  </si>
  <si>
    <t>Dining Room</t>
  </si>
  <si>
    <t>Pantry</t>
  </si>
  <si>
    <t>Master Bathroom</t>
  </si>
  <si>
    <t>Bathroom</t>
  </si>
  <si>
    <t>Toilet Room</t>
  </si>
  <si>
    <t>Master Bedroom</t>
  </si>
  <si>
    <t>Bedroom</t>
  </si>
  <si>
    <t>Living Room</t>
  </si>
  <si>
    <t>Family Room</t>
  </si>
  <si>
    <t>Laundry Room</t>
  </si>
  <si>
    <t>Hallway</t>
  </si>
  <si>
    <t>Closet</t>
  </si>
  <si>
    <t>Entry/Foyer</t>
  </si>
  <si>
    <t>Office</t>
  </si>
  <si>
    <t>Garage</t>
  </si>
  <si>
    <t>Attic</t>
  </si>
  <si>
    <t>Utility Room</t>
  </si>
  <si>
    <t>Breakfast Nook</t>
  </si>
  <si>
    <t>Wet Bar</t>
  </si>
  <si>
    <t>Daily Time / Readings Log</t>
  </si>
  <si>
    <t>Entrusted</t>
  </si>
  <si>
    <t>Customer Name:</t>
  </si>
  <si>
    <t>Date</t>
  </si>
  <si>
    <t># Techs</t>
  </si>
  <si>
    <t>Foreman</t>
  </si>
  <si>
    <t>Tech(s) Names</t>
  </si>
  <si>
    <t>Specialized</t>
  </si>
  <si>
    <t>Outside RH (%)  Temp ( °)</t>
  </si>
  <si>
    <t>Unaffected RH (%) Temp ( °)</t>
  </si>
  <si>
    <t>Arrival Time</t>
  </si>
  <si>
    <t>Ending Time</t>
  </si>
  <si>
    <t>Travel (Mins)</t>
  </si>
  <si>
    <t>Demo Time
(Mins)</t>
  </si>
  <si>
    <t>During Hrs</t>
  </si>
  <si>
    <t>After Hrs</t>
  </si>
  <si>
    <t>Tech During Hrs</t>
  </si>
  <si>
    <t>Tech After Hrs</t>
  </si>
  <si>
    <t>Total Tech Hrs</t>
  </si>
  <si>
    <t>Total Daily During Hrs</t>
  </si>
  <si>
    <t>Total Daily After Hrs</t>
  </si>
  <si>
    <t>Total Daily Hrs</t>
  </si>
  <si>
    <t>Foreman During Hrs</t>
  </si>
  <si>
    <t>Foreman After Hrs</t>
  </si>
  <si>
    <t>None</t>
  </si>
  <si>
    <t>Testing</t>
  </si>
  <si>
    <t>Microbial Present</t>
  </si>
  <si>
    <t>Biohazardous</t>
  </si>
  <si>
    <t>Lead Abatement</t>
  </si>
  <si>
    <t>Travel Time (Hrs)</t>
  </si>
  <si>
    <t>T</t>
  </si>
  <si>
    <t>Testing Final</t>
  </si>
  <si>
    <t>M.P.</t>
  </si>
  <si>
    <t>M.P. Final</t>
  </si>
  <si>
    <t>BIO</t>
  </si>
  <si>
    <t>BIO Final</t>
  </si>
  <si>
    <t>L.A.</t>
  </si>
  <si>
    <t>L.A. Final</t>
  </si>
  <si>
    <t>Total days technician(s) present on jobsite</t>
  </si>
  <si>
    <t>Monitoring (During Hrs)</t>
  </si>
  <si>
    <t>Total days technician(s) preformed check &amp; service</t>
  </si>
  <si>
    <t>Monitoring (After Hrs)</t>
  </si>
  <si>
    <t>General Log</t>
  </si>
  <si>
    <t>Category:</t>
  </si>
  <si>
    <t>Input Category</t>
  </si>
  <si>
    <t>Cause of Loss</t>
  </si>
  <si>
    <t>10491 Fussel Rd</t>
  </si>
  <si>
    <t>Total pieces of equipment</t>
  </si>
  <si>
    <t>HC?</t>
  </si>
  <si>
    <t>Conroe, TX 77385</t>
  </si>
  <si>
    <t>Generals</t>
  </si>
  <si>
    <t>#</t>
  </si>
  <si>
    <t>Notes</t>
  </si>
  <si>
    <t>Dehu $ (Set up / take down)</t>
  </si>
  <si>
    <t>Emergency Call During Hours (Each)</t>
  </si>
  <si>
    <t>Air Scrubber(Set up / take down)</t>
  </si>
  <si>
    <t>Emergency Call After Hours (Each)</t>
  </si>
  <si>
    <t>Air Mover (Set up / take down)</t>
  </si>
  <si>
    <t>Jobsite / Equipment Monitoring (Daily)</t>
  </si>
  <si>
    <t>Last Date</t>
  </si>
  <si>
    <t>Thermal Imaging (Each)</t>
  </si>
  <si>
    <t>Mold Testing (Each)</t>
  </si>
  <si>
    <t>Lead Testing (Each)</t>
  </si>
  <si>
    <t>Sub-Contractor Charge (Each)</t>
  </si>
  <si>
    <t>Plumber Charge (Each)</t>
  </si>
  <si>
    <t>POD (Each)</t>
  </si>
  <si>
    <t>POD Delivery/Pickup Charge (Each)</t>
  </si>
  <si>
    <t>Plastic (Sqft)</t>
  </si>
  <si>
    <t>Bubble Wrap (Sqft)</t>
  </si>
  <si>
    <t>Full Coveralls (Each)</t>
  </si>
  <si>
    <t>Full Face Respirator (Each)</t>
  </si>
  <si>
    <t>Half Face Respirator (Each)</t>
  </si>
  <si>
    <t>Disposable Gloves (Each)</t>
  </si>
  <si>
    <t>Heavy Duty Gloves (Each)</t>
  </si>
  <si>
    <t>Eye Protection (Each)</t>
  </si>
  <si>
    <t>Pickup Dump Charge (Each)</t>
  </si>
  <si>
    <t>Dumpster Bag (Each)</t>
  </si>
  <si>
    <t>Decontaminate Dehus (Each)</t>
  </si>
  <si>
    <t>Decontaminate Air Scrubbers (Each)</t>
  </si>
  <si>
    <t>Decontaminate Air Movers (Each)</t>
  </si>
  <si>
    <t>Area Rug Re-Delivery (Each)</t>
  </si>
  <si>
    <t>Temp Sink Hookup (Each)</t>
  </si>
  <si>
    <t>Disposable Mask (Each)</t>
  </si>
  <si>
    <t>Lumber (2x4)</t>
  </si>
  <si>
    <t>Floor Protection (Sqft)</t>
  </si>
  <si>
    <t>Matterport</t>
  </si>
  <si>
    <t>Tool Rental</t>
  </si>
  <si>
    <t>Category Testing Strips</t>
  </si>
  <si>
    <t>Final cleaning</t>
  </si>
  <si>
    <t>Leave jobsite broom swept / vacuum debris</t>
  </si>
  <si>
    <t>Ladder (Per Day)</t>
  </si>
  <si>
    <t>Other</t>
  </si>
  <si>
    <r>
      <rPr>
        <rFont val="Calibri"/>
        <b/>
        <color rgb="FF000000"/>
        <sz val="8.0"/>
      </rPr>
      <t>Notice:</t>
    </r>
    <r>
      <rPr>
        <rFont val="Calibri"/>
        <color rgb="FF000000"/>
        <sz val="8.0"/>
      </rPr>
      <t xml:space="preserve"> Please be aware that the current logs were completed with a full assessment at the present time to the best of our abilities. In the event of any questions about items or amounts, please submit a written notification of such inquiry, and our quality assurance team will respond as soon as possible. </t>
    </r>
  </si>
  <si>
    <t>Note Log</t>
  </si>
  <si>
    <t xml:space="preserve">Day 1: </t>
  </si>
  <si>
    <t xml:space="preserve">Day 2: </t>
  </si>
  <si>
    <t xml:space="preserve">Day 3: </t>
  </si>
  <si>
    <t xml:space="preserve">Day 4: </t>
  </si>
  <si>
    <t xml:space="preserve">Day 5: </t>
  </si>
  <si>
    <t xml:space="preserve">Day 6: </t>
  </si>
  <si>
    <t>Day 7:</t>
  </si>
  <si>
    <t xml:space="preserve">Day 8: </t>
  </si>
  <si>
    <t xml:space="preserve">Day 9: </t>
  </si>
  <si>
    <t xml:space="preserve">Day 10: </t>
  </si>
  <si>
    <t xml:space="preserve">Notes: </t>
  </si>
  <si>
    <r>
      <rPr>
        <rFont val="Calibri"/>
        <b/>
        <color rgb="FF000000"/>
        <sz val="8.0"/>
      </rPr>
      <t>Notice:</t>
    </r>
    <r>
      <rPr>
        <rFont val="Calibri"/>
        <color rgb="FF000000"/>
        <sz val="8.0"/>
      </rPr>
      <t xml:space="preserve"> Please be aware that the current logs were completed with a full assessment at the present time to the best of our abilities. In the event of any questions about items or amounts, please submit a written notification of such inquiry, and our quality assurance team will respond as soon as possible. </t>
    </r>
  </si>
  <si>
    <t>Start Day</t>
  </si>
  <si>
    <t>End Day</t>
  </si>
  <si>
    <t>Total Overtime After 5Pm</t>
  </si>
  <si>
    <t>Total Overtime Before 8:30</t>
  </si>
  <si>
    <t>If Weekend (1)</t>
  </si>
  <si>
    <t>Total Work Hours</t>
  </si>
  <si>
    <t>Total Work / Travel</t>
  </si>
  <si>
    <t>Total Work Regular Hours</t>
  </si>
  <si>
    <t>Total Work Overtime Hours</t>
  </si>
  <si>
    <t>Regular Work/Travel</t>
  </si>
  <si>
    <t>Overtime Work/Travel</t>
  </si>
  <si>
    <t>Travel Hours</t>
  </si>
  <si>
    <t>Regular Pay</t>
  </si>
  <si>
    <t>Overtime Pay</t>
  </si>
  <si>
    <t>Total Pay</t>
  </si>
  <si>
    <t>Total Overtime Before 8:30am</t>
  </si>
  <si>
    <t>Regular</t>
  </si>
  <si>
    <t>Overtime</t>
  </si>
  <si>
    <t>Total Regular Travel</t>
  </si>
  <si>
    <t>Total Overtime Travel</t>
  </si>
  <si>
    <t>Including Weekend</t>
  </si>
  <si>
    <t>Before 8:30</t>
  </si>
  <si>
    <t>After 5pm</t>
  </si>
  <si>
    <t>Rooms added</t>
  </si>
  <si>
    <t>Room Actions</t>
  </si>
  <si>
    <t>Actual Rooms</t>
  </si>
  <si>
    <t>Current room</t>
  </si>
  <si>
    <t>Add Selected Rooms</t>
  </si>
  <si>
    <t>Class</t>
  </si>
  <si>
    <t>No dehu needed</t>
  </si>
  <si>
    <t>Add Custom Room</t>
  </si>
  <si>
    <t>Sheet Name:</t>
  </si>
  <si>
    <t>Cubic Volume:</t>
  </si>
  <si>
    <t>Drop Menu:</t>
  </si>
  <si>
    <t>Drymax:</t>
  </si>
  <si>
    <t>7000:</t>
  </si>
  <si>
    <t>Room Log</t>
  </si>
  <si>
    <t>Room:</t>
  </si>
  <si>
    <t>Drying Chamber</t>
  </si>
  <si>
    <t>Room Size:</t>
  </si>
  <si>
    <t>Length</t>
  </si>
  <si>
    <t>Width</t>
  </si>
  <si>
    <t>Height</t>
  </si>
  <si>
    <t>Material</t>
  </si>
  <si>
    <t>Dry Standard</t>
  </si>
  <si>
    <t>Day 1</t>
  </si>
  <si>
    <t>Day 2</t>
  </si>
  <si>
    <t>Day 3</t>
  </si>
  <si>
    <t>Day 4</t>
  </si>
  <si>
    <t>Day 5</t>
  </si>
  <si>
    <t>Day 6</t>
  </si>
  <si>
    <t>Day 7</t>
  </si>
  <si>
    <t xml:space="preserve">Day 8 </t>
  </si>
  <si>
    <t xml:space="preserve">Day 9 </t>
  </si>
  <si>
    <t>Day 10</t>
  </si>
  <si>
    <t>Drymax Total</t>
  </si>
  <si>
    <t>All Rooms</t>
  </si>
  <si>
    <t>Dehu Accomplised by</t>
  </si>
  <si>
    <t>Add CF to this room</t>
  </si>
  <si>
    <t>7000 Total</t>
  </si>
  <si>
    <t>Total Dehu and Rating</t>
  </si>
  <si>
    <t>Cubic Volume Room</t>
  </si>
  <si>
    <t>Added Rooms</t>
  </si>
  <si>
    <t>Total Shared Volume</t>
  </si>
  <si>
    <t>(Y or N)</t>
  </si>
  <si>
    <t>Removal Line Items</t>
  </si>
  <si>
    <t>SQFT</t>
  </si>
  <si>
    <t>Air Mover Calculation</t>
  </si>
  <si>
    <t>Flooring</t>
  </si>
  <si>
    <t>Initial air mover</t>
  </si>
  <si>
    <t>Affected flooring (sqft)</t>
  </si>
  <si>
    <t>Add Glue Down (Flooring)</t>
  </si>
  <si>
    <t>Affected ceiling / walls above 24 in. (sqft)</t>
  </si>
  <si>
    <t>Class Calculation</t>
  </si>
  <si>
    <t>Tile Walls</t>
  </si>
  <si>
    <t>Insets / offsets &gt; 18 in. (each)</t>
  </si>
  <si>
    <t>Baseboards</t>
  </si>
  <si>
    <t>Recommended Amount of Air Movers</t>
  </si>
  <si>
    <t>Trimwork</t>
  </si>
  <si>
    <t>Equip.</t>
  </si>
  <si>
    <t>Installed</t>
  </si>
  <si>
    <t>Amount</t>
  </si>
  <si>
    <t>Days</t>
  </si>
  <si>
    <t>Pulled</t>
  </si>
  <si>
    <t>Cleaning</t>
  </si>
  <si>
    <t>Drywall</t>
  </si>
  <si>
    <t>A.M. (D)</t>
  </si>
  <si>
    <t>AHAM Calculation</t>
  </si>
  <si>
    <t>Insulation</t>
  </si>
  <si>
    <t>AHAM EXCEEDS</t>
  </si>
  <si>
    <t>Countertops</t>
  </si>
  <si>
    <t>AHAM EXCEED CALC.</t>
  </si>
  <si>
    <t>Backsplash</t>
  </si>
  <si>
    <t>Cabinetry</t>
  </si>
  <si>
    <t>Extraction</t>
  </si>
  <si>
    <t>Contents</t>
  </si>
  <si>
    <t>Floor (Sqft)</t>
  </si>
  <si>
    <t>Contents (Bag for disposal)</t>
  </si>
  <si>
    <t>Containment</t>
  </si>
  <si>
    <t>Drill Holes (Each)</t>
  </si>
  <si>
    <t>Plastic Coverings</t>
  </si>
  <si>
    <t>Spray Anti-Microbial (Sqft)</t>
  </si>
  <si>
    <t>Appliances</t>
  </si>
  <si>
    <t>Flooring air movers</t>
  </si>
  <si>
    <t>Plumbing - Various</t>
  </si>
  <si>
    <t>Containment - Zip Pole System (Each)</t>
  </si>
  <si>
    <t>Ceiling / wall air movers</t>
  </si>
  <si>
    <t>Subcontractor - Various</t>
  </si>
  <si>
    <t>Zippers (Each)</t>
  </si>
  <si>
    <t>Inset / offset air movers</t>
  </si>
  <si>
    <t>Mirror</t>
  </si>
  <si>
    <t>Insulation - Vacuum Wall Framing</t>
  </si>
  <si>
    <t>Total air movers</t>
  </si>
  <si>
    <t>Insulation - Clean Truss System</t>
  </si>
  <si>
    <t>Cleaning (Sqft)</t>
  </si>
  <si>
    <t>Cleaning Notes</t>
  </si>
  <si>
    <t>Notice: Please be aware that the current logs were completed with a full assessment at the present time to the best of our abilities. In the event of any questions about items or amounts, please submit a written notification of such inquiry, and our quality assurance team will respond as soon as possible.</t>
  </si>
  <si>
    <t>Drying Chamber(s)</t>
  </si>
  <si>
    <t>LGR Rating</t>
  </si>
  <si>
    <t>Dehu</t>
  </si>
  <si>
    <t>AHAM Rating</t>
  </si>
  <si>
    <t>Delete Chamber</t>
  </si>
  <si>
    <t>Drymax</t>
  </si>
  <si>
    <t>Delete Tab</t>
  </si>
  <si>
    <t>Input Class</t>
  </si>
  <si>
    <t>Chamber Number</t>
  </si>
  <si>
    <t>Chamber</t>
  </si>
  <si>
    <t>Room(s) Associated</t>
  </si>
  <si>
    <t>Room Cubic Volume</t>
  </si>
  <si>
    <t>Cubic Volume</t>
  </si>
  <si>
    <t>Add. Cubic Volume</t>
  </si>
  <si>
    <t>Dehu Total / AHAM Total</t>
  </si>
  <si>
    <t>Total Cubic Volume</t>
  </si>
  <si>
    <t>Total AHAM</t>
  </si>
  <si>
    <t>Associated Room(s)</t>
  </si>
  <si>
    <t>Dehumidification</t>
  </si>
  <si>
    <t>Install</t>
  </si>
  <si>
    <t>Pull</t>
  </si>
  <si>
    <t>ACCURACY</t>
  </si>
  <si>
    <t>Drymax (Days)</t>
  </si>
  <si>
    <t>Total PPD</t>
  </si>
  <si>
    <t>AHAM</t>
  </si>
  <si>
    <t>7000 (Days)</t>
  </si>
  <si>
    <t>Air Scrubbers</t>
  </si>
  <si>
    <t>RECOMMENDED</t>
  </si>
  <si>
    <t>Air Changes Per Hr</t>
  </si>
  <si>
    <t>Hepa 500</t>
  </si>
  <si>
    <t>HEPA 500 CFM</t>
  </si>
  <si>
    <t>Recommended</t>
  </si>
  <si>
    <t>Day(s)</t>
  </si>
  <si>
    <t>Day 8</t>
  </si>
  <si>
    <t>Day 9</t>
  </si>
  <si>
    <t>Temp. Chamber  ( °)</t>
  </si>
  <si>
    <t>RH Chamber (%)</t>
  </si>
  <si>
    <t>Temp. Dehu ( °)</t>
  </si>
  <si>
    <t>RH Dehu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</si>
</sst>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h:mm am/pm"/>
    <numFmt numFmtId="166" formatCode="h&quot;:&quot;mm&quot; &quot;am/pm"/>
    <numFmt numFmtId="167" formatCode="#,##0.0"/>
    <numFmt numFmtId="168" formatCode="&quot;$&quot;#,##0.00"/>
    <numFmt numFmtId="169" formatCode="0.0"/>
  </numFmts>
  <fonts count="40">
    <font>
      <sz val="11.0"/>
      <color rgb="FF000000"/>
      <name val="Calibri"/>
    </font>
    <font>
      <b/>
      <sz val="14.0"/>
      <color rgb="FFE69138"/>
    </font>
    <font>
      <sz val="14.0"/>
      <color rgb="FFFFFFFF"/>
    </font>
    <font>
      <b/>
      <sz val="14.0"/>
    </font>
    <font>
      <b/>
      <sz val="14.0"/>
      <color rgb="FFFFFFFF"/>
    </font>
    <font>
      <sz val="14.0"/>
    </font>
    <font>
      <sz val="20.0"/>
      <color rgb="FFA5A5A5"/>
      <name val="Calibri"/>
    </font>
    <font/>
    <font>
      <b/>
      <sz val="16.0"/>
      <color rgb="FFED7D31"/>
      <name val="Calibri"/>
    </font>
    <font>
      <b/>
      <sz val="11.0"/>
      <color rgb="FFFFFFFF"/>
      <name val="Calibri"/>
    </font>
    <font>
      <sz val="14.0"/>
      <color rgb="FF000000"/>
      <name val="Calibri"/>
    </font>
    <font>
      <b/>
      <sz val="8.0"/>
      <color rgb="FFFFFFFF"/>
      <name val="Calibri"/>
    </font>
    <font>
      <sz val="9.0"/>
      <name val="Calibri"/>
    </font>
    <font>
      <sz val="9.0"/>
    </font>
    <font>
      <b/>
      <sz val="14.0"/>
      <color rgb="FFFFFFFF"/>
      <name val="Calibri"/>
    </font>
    <font>
      <b/>
    </font>
    <font>
      <b/>
      <sz val="11.0"/>
      <color rgb="FF0A0101"/>
      <name val="Arial"/>
    </font>
    <font>
      <sz val="11.0"/>
      <color rgb="FF000000"/>
      <name val="Inconsolata"/>
    </font>
    <font>
      <sz val="10.0"/>
      <color rgb="FF000000"/>
      <name val="Calibri"/>
    </font>
    <font>
      <b/>
      <sz val="10.0"/>
      <color rgb="FFFFFFFF"/>
      <name val="Calibri"/>
    </font>
    <font>
      <sz val="8.0"/>
      <color rgb="FF000000"/>
      <name val="Calibri"/>
    </font>
    <font>
      <b/>
      <sz val="11.0"/>
      <color rgb="FF000000"/>
      <name val="Calibri"/>
    </font>
    <font>
      <name val="Arial"/>
    </font>
    <font>
      <sz val="12.0"/>
      <color rgb="FF222222"/>
      <name val="&quot;open sans&quot;"/>
    </font>
    <font>
      <b/>
      <color rgb="FFFF0000"/>
    </font>
    <font>
      <sz val="12.0"/>
      <color rgb="FF222222"/>
      <name val="Arial"/>
    </font>
    <font>
      <sz val="11.0"/>
      <name val="Calibri"/>
    </font>
    <font>
      <sz val="11.0"/>
      <color rgb="FF0A0101"/>
      <name val="Calibri"/>
    </font>
    <font>
      <color rgb="FFFFFFFF"/>
      <name val="Calibri"/>
    </font>
    <font>
      <b/>
      <sz val="11.0"/>
      <name val="Calibri"/>
    </font>
    <font>
      <b/>
      <sz val="8.0"/>
      <color rgb="FF000000"/>
      <name val="Calibri"/>
    </font>
    <font>
      <b/>
      <sz val="10.0"/>
      <name val="Calibri"/>
    </font>
    <font>
      <b/>
      <sz val="9.0"/>
      <color rgb="FFFFFFFF"/>
      <name val="Calibri"/>
    </font>
    <font>
      <sz val="8.0"/>
      <name val="Calibri"/>
    </font>
    <font>
      <name val="Calibri"/>
    </font>
    <font>
      <sz val="18.0"/>
      <color rgb="FFA5A5A5"/>
      <name val="Calibri"/>
    </font>
    <font>
      <sz val="14.0"/>
      <color rgb="FFFFFFFF"/>
      <name val="Calibri"/>
    </font>
    <font>
      <b/>
      <color rgb="FFFFFFFF"/>
      <name val="Calibri"/>
    </font>
    <font>
      <color rgb="FF000000"/>
      <name val="Calibri"/>
    </font>
    <font>
      <sz val="36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D9D9D9"/>
        <bgColor rgb="FFD9D9D9"/>
      </patternFill>
    </fill>
  </fills>
  <borders count="49">
    <border/>
    <border>
      <bottom style="thin">
        <color rgb="FF66666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left" readingOrder="0" vertical="center"/>
    </xf>
    <xf borderId="1" fillId="4" fontId="3" numFmtId="0" xfId="0" applyAlignment="1" applyBorder="1" applyFill="1" applyFont="1">
      <alignment readingOrder="0" vertical="center"/>
    </xf>
    <xf borderId="1" fillId="4" fontId="4" numFmtId="0" xfId="0" applyAlignment="1" applyBorder="1" applyFont="1">
      <alignment readingOrder="0" vertical="center"/>
    </xf>
    <xf borderId="1" fillId="4" fontId="4" numFmtId="1" xfId="0" applyAlignment="1" applyBorder="1" applyFont="1" applyNumberFormat="1">
      <alignment readingOrder="0" vertical="center"/>
    </xf>
    <xf borderId="0" fillId="4" fontId="4" numFmtId="1" xfId="0" applyAlignment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1" xfId="0" applyAlignment="1" applyFont="1" applyNumberFormat="1">
      <alignment readingOrder="0" vertical="center"/>
    </xf>
    <xf borderId="0" fillId="0" fontId="5" numFmtId="1" xfId="0" applyAlignment="1" applyFont="1" applyNumberFormat="1">
      <alignment horizontal="left" readingOrder="0" vertical="center"/>
    </xf>
    <xf borderId="0" fillId="0" fontId="6" numFmtId="0" xfId="0" applyAlignment="1" applyFont="1">
      <alignment horizontal="right" readingOrder="0"/>
    </xf>
    <xf borderId="0" fillId="5" fontId="7" numFmtId="0" xfId="0" applyFill="1" applyFont="1"/>
    <xf borderId="0" fillId="0" fontId="8" numFmtId="0" xfId="0" applyAlignment="1" applyFont="1">
      <alignment horizontal="right"/>
    </xf>
    <xf borderId="2" fillId="6" fontId="9" numFmtId="0" xfId="0" applyBorder="1" applyFill="1" applyFont="1"/>
    <xf borderId="3" fillId="0" fontId="7" numFmtId="0" xfId="0" applyBorder="1" applyFont="1"/>
    <xf borderId="4" fillId="0" fontId="7" numFmtId="0" xfId="0" applyBorder="1" applyFont="1"/>
    <xf borderId="2" fillId="7" fontId="0" numFmtId="0" xfId="0" applyAlignment="1" applyBorder="1" applyFill="1" applyFont="1">
      <alignment horizontal="left" readingOrder="0"/>
    </xf>
    <xf borderId="0" fillId="5" fontId="0" numFmtId="0" xfId="0" applyAlignment="1" applyFont="1">
      <alignment horizontal="left"/>
    </xf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horizontal="right"/>
    </xf>
    <xf borderId="5" fillId="6" fontId="11" numFmtId="0" xfId="0" applyAlignment="1" applyBorder="1" applyFont="1">
      <alignment horizontal="center" readingOrder="0" shrinkToFit="0" vertical="center" wrapText="1"/>
    </xf>
    <xf borderId="2" fillId="6" fontId="11" numFmtId="0" xfId="0" applyAlignment="1" applyBorder="1" applyFont="1">
      <alignment horizontal="center" readingOrder="0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5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6" fillId="7" fontId="12" numFmtId="164" xfId="0" applyAlignment="1" applyBorder="1" applyFont="1" applyNumberFormat="1">
      <alignment horizontal="center" readingOrder="0" vertical="bottom"/>
    </xf>
    <xf borderId="0" fillId="7" fontId="12" numFmtId="3" xfId="0" applyAlignment="1" applyFont="1" applyNumberFormat="1">
      <alignment horizontal="center" readingOrder="0" vertical="bottom"/>
    </xf>
    <xf borderId="0" fillId="7" fontId="13" numFmtId="0" xfId="0" applyAlignment="1" applyFont="1">
      <alignment horizontal="center" readingOrder="0" shrinkToFit="0" wrapText="1"/>
    </xf>
    <xf borderId="0" fillId="7" fontId="12" numFmtId="0" xfId="0" applyAlignment="1" applyFont="1">
      <alignment horizontal="center" readingOrder="0" vertical="bottom"/>
    </xf>
    <xf borderId="0" fillId="7" fontId="12" numFmtId="165" xfId="0" applyAlignment="1" applyFont="1" applyNumberFormat="1">
      <alignment horizontal="center" readingOrder="0" vertical="bottom"/>
    </xf>
    <xf borderId="0" fillId="7" fontId="12" numFmtId="4" xfId="0" applyAlignment="1" applyFont="1" applyNumberFormat="1">
      <alignment horizontal="center" vertical="bottom"/>
    </xf>
    <xf borderId="7" fillId="7" fontId="12" numFmtId="4" xfId="0" applyAlignment="1" applyBorder="1" applyFont="1" applyNumberFormat="1">
      <alignment horizontal="center" vertical="bottom"/>
    </xf>
    <xf borderId="6" fillId="5" fontId="12" numFmtId="164" xfId="0" applyAlignment="1" applyBorder="1" applyFont="1" applyNumberFormat="1">
      <alignment horizontal="center" readingOrder="0" vertical="bottom"/>
    </xf>
    <xf borderId="0" fillId="5" fontId="12" numFmtId="3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center" readingOrder="0" shrinkToFit="0" wrapText="1"/>
    </xf>
    <xf borderId="0" fillId="5" fontId="13" numFmtId="0" xfId="0" applyAlignment="1" applyFont="1">
      <alignment horizontal="center" readingOrder="0" shrinkToFit="0" wrapText="1"/>
    </xf>
    <xf borderId="0" fillId="5" fontId="12" numFmtId="166" xfId="0" applyAlignment="1" applyFont="1" applyNumberFormat="1">
      <alignment horizontal="center" readingOrder="0" vertical="bottom"/>
    </xf>
    <xf borderId="0" fillId="5" fontId="12" numFmtId="165" xfId="0" applyAlignment="1" applyFont="1" applyNumberFormat="1">
      <alignment horizontal="center" readingOrder="0" vertical="bottom"/>
    </xf>
    <xf borderId="0" fillId="5" fontId="12" numFmtId="4" xfId="0" applyAlignment="1" applyFont="1" applyNumberFormat="1">
      <alignment horizontal="center" vertical="bottom"/>
    </xf>
    <xf borderId="7" fillId="5" fontId="12" numFmtId="4" xfId="0" applyAlignment="1" applyBorder="1" applyFont="1" applyNumberFormat="1">
      <alignment horizontal="center" vertical="bottom"/>
    </xf>
    <xf borderId="0" fillId="7" fontId="12" numFmtId="0" xfId="0" applyAlignment="1" applyFont="1">
      <alignment horizontal="center" readingOrder="0" shrinkToFit="0" wrapText="1"/>
    </xf>
    <xf borderId="0" fillId="7" fontId="12" numFmtId="166" xfId="0" applyAlignment="1" applyFont="1" applyNumberFormat="1">
      <alignment horizontal="center" readingOrder="0" vertical="bottom"/>
    </xf>
    <xf borderId="0" fillId="7" fontId="12" numFmtId="166" xfId="0" applyAlignment="1" applyFont="1" applyNumberFormat="1">
      <alignment horizontal="center" readingOrder="0" vertical="bottom"/>
    </xf>
    <xf borderId="0" fillId="5" fontId="12" numFmtId="166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center" shrinkToFit="0" wrapText="1"/>
    </xf>
    <xf borderId="0" fillId="5" fontId="12" numFmtId="166" xfId="0" applyAlignment="1" applyFont="1" applyNumberFormat="1">
      <alignment horizontal="center" vertical="bottom"/>
    </xf>
    <xf borderId="0" fillId="7" fontId="12" numFmtId="0" xfId="0" applyAlignment="1" applyFont="1">
      <alignment horizontal="center" shrinkToFit="0" wrapText="1"/>
    </xf>
    <xf borderId="0" fillId="7" fontId="12" numFmtId="166" xfId="0" applyAlignment="1" applyFont="1" applyNumberFormat="1">
      <alignment horizontal="center" vertical="bottom"/>
    </xf>
    <xf borderId="0" fillId="7" fontId="12" numFmtId="3" xfId="0" applyAlignment="1" applyFont="1" applyNumberFormat="1">
      <alignment horizontal="center" vertical="bottom"/>
    </xf>
    <xf borderId="0" fillId="5" fontId="12" numFmtId="3" xfId="0" applyAlignment="1" applyFont="1" applyNumberFormat="1">
      <alignment horizontal="center" vertical="bottom"/>
    </xf>
    <xf borderId="2" fillId="6" fontId="14" numFmtId="0" xfId="0" applyAlignment="1" applyBorder="1" applyFont="1">
      <alignment horizontal="right" readingOrder="0"/>
    </xf>
    <xf borderId="5" fillId="6" fontId="14" numFmtId="0" xfId="0" applyAlignment="1" applyBorder="1" applyFont="1">
      <alignment horizontal="right" readingOrder="0"/>
    </xf>
    <xf borderId="5" fillId="6" fontId="14" numFmtId="0" xfId="0" applyAlignment="1" applyBorder="1" applyFont="1">
      <alignment horizontal="center"/>
    </xf>
    <xf borderId="5" fillId="6" fontId="14" numFmtId="4" xfId="0" applyAlignment="1" applyBorder="1" applyFont="1" applyNumberFormat="1">
      <alignment horizontal="center"/>
    </xf>
    <xf borderId="7" fillId="0" fontId="7" numFmtId="0" xfId="0" applyBorder="1" applyFont="1"/>
    <xf borderId="0" fillId="0" fontId="15" numFmtId="0" xfId="0" applyAlignment="1" applyFont="1">
      <alignment readingOrder="0"/>
    </xf>
    <xf borderId="0" fillId="5" fontId="16" numFmtId="0" xfId="0" applyAlignment="1" applyFont="1">
      <alignment horizontal="center"/>
    </xf>
    <xf borderId="0" fillId="0" fontId="15" numFmtId="0" xfId="0" applyAlignment="1" applyFont="1">
      <alignment horizontal="right" readingOrder="0"/>
    </xf>
    <xf borderId="7" fillId="0" fontId="15" numFmtId="4" xfId="0" applyAlignment="1" applyBorder="1" applyFont="1" applyNumberFormat="1">
      <alignment horizontal="right"/>
    </xf>
    <xf borderId="0" fillId="0" fontId="15" numFmtId="0" xfId="0" applyAlignment="1" applyFont="1">
      <alignment horizontal="right"/>
    </xf>
    <xf borderId="8" fillId="0" fontId="15" numFmtId="0" xfId="0" applyAlignment="1" applyBorder="1" applyFont="1">
      <alignment readingOrder="0"/>
    </xf>
    <xf borderId="8" fillId="0" fontId="7" numFmtId="0" xfId="0" applyBorder="1" applyFont="1"/>
    <xf borderId="8" fillId="5" fontId="16" numFmtId="0" xfId="0" applyAlignment="1" applyBorder="1" applyFont="1">
      <alignment horizontal="center"/>
    </xf>
    <xf borderId="8" fillId="0" fontId="15" numFmtId="0" xfId="0" applyAlignment="1" applyBorder="1" applyFont="1">
      <alignment horizontal="right" readingOrder="0"/>
    </xf>
    <xf borderId="9" fillId="0" fontId="15" numFmtId="4" xfId="0" applyAlignment="1" applyBorder="1" applyFont="1" applyNumberFormat="1">
      <alignment horizontal="right"/>
    </xf>
    <xf borderId="10" fillId="5" fontId="17" numFmtId="0" xfId="0" applyBorder="1" applyFont="1"/>
    <xf borderId="11" fillId="0" fontId="7" numFmtId="0" xfId="0" applyBorder="1" applyFont="1"/>
    <xf borderId="11" fillId="0" fontId="6" numFmtId="0" xfId="0" applyAlignment="1" applyBorder="1" applyFont="1">
      <alignment horizontal="right"/>
    </xf>
    <xf borderId="2" fillId="6" fontId="14" numFmtId="0" xfId="0" applyBorder="1" applyFont="1"/>
    <xf borderId="2" fillId="7" fontId="0" numFmtId="0" xfId="0" applyAlignment="1" applyBorder="1" applyFont="1">
      <alignment horizontal="center" readingOrder="0"/>
    </xf>
    <xf borderId="2" fillId="6" fontId="14" numFmtId="0" xfId="0" applyAlignment="1" applyBorder="1" applyFont="1">
      <alignment readingOrder="0"/>
    </xf>
    <xf borderId="3" fillId="7" fontId="0" numFmtId="0" xfId="0" applyAlignment="1" applyBorder="1" applyFont="1">
      <alignment vertical="center"/>
    </xf>
    <xf borderId="0" fillId="0" fontId="10" numFmtId="0" xfId="0" applyAlignment="1" applyFont="1">
      <alignment horizontal="right" vertical="bottom"/>
    </xf>
    <xf borderId="3" fillId="7" fontId="0" numFmtId="0" xfId="0" applyAlignment="1" applyBorder="1" applyFont="1">
      <alignment readingOrder="0" vertical="center"/>
    </xf>
    <xf borderId="0" fillId="0" fontId="10" numFmtId="0" xfId="0" applyAlignment="1" applyFont="1">
      <alignment horizontal="right" readingOrder="0" vertical="bottom"/>
    </xf>
    <xf borderId="2" fillId="6" fontId="14" numFmtId="0" xfId="0" applyAlignment="1" applyBorder="1" applyFont="1">
      <alignment horizontal="left"/>
    </xf>
    <xf borderId="5" fillId="6" fontId="14" numFmtId="0" xfId="0" applyAlignment="1" applyBorder="1" applyFont="1">
      <alignment horizontal="center" readingOrder="0"/>
    </xf>
    <xf borderId="6" fillId="5" fontId="18" numFmtId="0" xfId="0" applyAlignment="1" applyBorder="1" applyFont="1">
      <alignment horizontal="left"/>
    </xf>
    <xf borderId="0" fillId="5" fontId="18" numFmtId="0" xfId="0" applyAlignment="1" applyFont="1">
      <alignment horizontal="center" readingOrder="0"/>
    </xf>
    <xf borderId="0" fillId="5" fontId="18" numFmtId="0" xfId="0" applyAlignment="1" applyFont="1">
      <alignment horizontal="left"/>
    </xf>
    <xf borderId="6" fillId="7" fontId="18" numFmtId="0" xfId="0" applyBorder="1" applyFont="1"/>
    <xf borderId="0" fillId="7" fontId="18" numFmtId="0" xfId="0" applyAlignment="1" applyFont="1">
      <alignment horizontal="center" readingOrder="0"/>
    </xf>
    <xf borderId="0" fillId="7" fontId="18" numFmtId="0" xfId="0" applyAlignment="1" applyFont="1">
      <alignment horizontal="left"/>
    </xf>
    <xf borderId="6" fillId="5" fontId="18" numFmtId="0" xfId="0" applyAlignment="1" applyBorder="1" applyFont="1">
      <alignment readingOrder="0"/>
    </xf>
    <xf borderId="0" fillId="5" fontId="18" numFmtId="0" xfId="0" applyAlignment="1" applyFont="1">
      <alignment horizontal="center"/>
    </xf>
    <xf borderId="0" fillId="5" fontId="18" numFmtId="0" xfId="0" applyAlignment="1" applyFont="1">
      <alignment horizontal="left" readingOrder="0"/>
    </xf>
    <xf borderId="0" fillId="0" fontId="7" numFmtId="164" xfId="0" applyFont="1" applyNumberFormat="1"/>
    <xf borderId="6" fillId="5" fontId="18" numFmtId="0" xfId="0" applyBorder="1" applyFont="1"/>
    <xf borderId="0" fillId="7" fontId="18" numFmtId="0" xfId="0" applyAlignment="1" applyFont="1">
      <alignment horizontal="center"/>
    </xf>
    <xf borderId="6" fillId="7" fontId="18" numFmtId="0" xfId="0" applyAlignment="1" applyBorder="1" applyFont="1">
      <alignment readingOrder="0"/>
    </xf>
    <xf borderId="0" fillId="5" fontId="18" numFmtId="0" xfId="0" applyAlignment="1" applyFont="1">
      <alignment horizontal="left" vertical="top"/>
    </xf>
    <xf borderId="6" fillId="5" fontId="18" numFmtId="0" xfId="0" applyAlignment="1" applyBorder="1" applyFont="1">
      <alignment readingOrder="0"/>
    </xf>
    <xf borderId="0" fillId="7" fontId="18" numFmtId="0" xfId="0" applyAlignment="1" applyFont="1">
      <alignment horizontal="left" readingOrder="0"/>
    </xf>
    <xf borderId="12" fillId="6" fontId="19" numFmtId="0" xfId="0" applyAlignment="1" applyBorder="1" applyFont="1">
      <alignment horizontal="left" readingOrder="0" vertical="center"/>
    </xf>
    <xf borderId="12" fillId="0" fontId="7" numFmtId="0" xfId="0" applyBorder="1" applyFont="1"/>
    <xf borderId="13" fillId="0" fontId="7" numFmtId="0" xfId="0" applyBorder="1" applyFont="1"/>
    <xf borderId="10" fillId="5" fontId="18" numFmtId="0" xfId="0" applyAlignment="1" applyBorder="1" applyFont="1">
      <alignment horizontal="left" shrinkToFit="0" vertical="top" wrapText="1"/>
    </xf>
    <xf borderId="14" fillId="0" fontId="7" numFmtId="0" xfId="0" applyBorder="1" applyFont="1"/>
    <xf borderId="6" fillId="0" fontId="7" numFmtId="0" xfId="0" applyBorder="1" applyFont="1"/>
    <xf borderId="15" fillId="0" fontId="7" numFmtId="0" xfId="0" applyBorder="1" applyFont="1"/>
    <xf borderId="10" fillId="0" fontId="20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1" fillId="0" fontId="6" numFmtId="0" xfId="0" applyAlignment="1" applyBorder="1" applyFont="1">
      <alignment horizontal="right" readingOrder="0"/>
    </xf>
    <xf borderId="16" fillId="7" fontId="21" numFmtId="0" xfId="0" applyAlignment="1" applyBorder="1" applyFont="1">
      <alignment horizontal="left" readingOrder="0" shrinkToFit="0" vertical="top" wrapText="1"/>
    </xf>
    <xf borderId="17" fillId="0" fontId="7" numFmtId="0" xfId="0" applyBorder="1" applyFont="1"/>
    <xf borderId="18" fillId="0" fontId="7" numFmtId="0" xfId="0" applyBorder="1" applyFont="1"/>
    <xf borderId="19" fillId="7" fontId="21" numFmtId="0" xfId="0" applyAlignment="1" applyBorder="1" applyFont="1">
      <alignment horizontal="left" readingOrder="0" shrinkToFit="0" vertical="top" wrapText="1"/>
    </xf>
    <xf borderId="20" fillId="0" fontId="7" numFmtId="0" xfId="0" applyBorder="1" applyFont="1"/>
    <xf borderId="21" fillId="0" fontId="7" numFmtId="0" xfId="0" applyBorder="1" applyFont="1"/>
    <xf borderId="6" fillId="0" fontId="20" numFmtId="0" xfId="0" applyAlignment="1" applyBorder="1" applyFont="1">
      <alignment horizontal="center" shrinkToFit="0" vertical="center" wrapText="1"/>
    </xf>
    <xf borderId="0" fillId="8" fontId="22" numFmtId="0" xfId="0" applyAlignment="1" applyFill="1" applyFont="1">
      <alignment horizontal="right" vertical="bottom"/>
    </xf>
    <xf borderId="0" fillId="8" fontId="22" numFmtId="0" xfId="0" applyAlignment="1" applyFont="1">
      <alignment vertical="bottom"/>
    </xf>
    <xf borderId="0" fillId="5" fontId="22" numFmtId="0" xfId="0" applyAlignment="1" applyFont="1">
      <alignment vertical="bottom"/>
    </xf>
    <xf borderId="0" fillId="5" fontId="22" numFmtId="0" xfId="0" applyAlignment="1" applyFont="1">
      <alignment horizontal="right" vertical="bottom"/>
    </xf>
    <xf borderId="0" fillId="5" fontId="22" numFmtId="165" xfId="0" applyAlignment="1" applyFont="1" applyNumberFormat="1">
      <alignment horizontal="right" vertical="bottom"/>
    </xf>
    <xf borderId="0" fillId="5" fontId="22" numFmtId="49" xfId="0" applyAlignment="1" applyFont="1" applyNumberFormat="1">
      <alignment vertical="bottom"/>
    </xf>
    <xf borderId="0" fillId="5" fontId="22" numFmtId="49" xfId="0" applyAlignment="1" applyFont="1" applyNumberFormat="1">
      <alignment horizontal="right" vertical="bottom"/>
    </xf>
    <xf borderId="0" fillId="5" fontId="22" numFmtId="20" xfId="0" applyAlignment="1" applyFont="1" applyNumberFormat="1">
      <alignment horizontal="right" vertical="bottom"/>
    </xf>
    <xf borderId="0" fillId="5" fontId="22" numFmtId="4" xfId="0" applyAlignment="1" applyFont="1" applyNumberFormat="1">
      <alignment horizontal="right" vertical="bottom"/>
    </xf>
    <xf borderId="0" fillId="5" fontId="22" numFmtId="167" xfId="0" applyAlignment="1" applyFont="1" applyNumberFormat="1">
      <alignment horizontal="right" vertical="bottom"/>
    </xf>
    <xf borderId="0" fillId="5" fontId="22" numFmtId="2" xfId="0" applyAlignment="1" applyFont="1" applyNumberFormat="1">
      <alignment horizontal="right" vertical="bottom"/>
    </xf>
    <xf borderId="0" fillId="5" fontId="22" numFmtId="168" xfId="0" applyAlignment="1" applyFont="1" applyNumberFormat="1">
      <alignment horizontal="right" vertical="bottom"/>
    </xf>
    <xf borderId="0" fillId="0" fontId="7" numFmtId="0" xfId="0" applyAlignment="1" applyFont="1">
      <alignment horizontal="right"/>
    </xf>
    <xf borderId="0" fillId="5" fontId="23" numFmtId="0" xfId="0" applyAlignment="1" applyFont="1">
      <alignment horizontal="left"/>
    </xf>
    <xf borderId="0" fillId="5" fontId="17" numFmtId="0" xfId="0" applyAlignment="1" applyFont="1">
      <alignment readingOrder="0"/>
    </xf>
    <xf borderId="0" fillId="5" fontId="17" numFmtId="0" xfId="0" applyFont="1"/>
    <xf borderId="0" fillId="0" fontId="24" numFmtId="0" xfId="0" applyAlignment="1" applyFont="1">
      <alignment readingOrder="0"/>
    </xf>
    <xf borderId="0" fillId="5" fontId="25" numFmtId="0" xfId="0" applyAlignment="1" applyFont="1">
      <alignment horizontal="left" readingOrder="0"/>
    </xf>
    <xf borderId="0" fillId="0" fontId="26" numFmtId="0" xfId="0" applyAlignment="1" applyFont="1">
      <alignment vertical="bottom"/>
    </xf>
    <xf borderId="2" fillId="7" fontId="0" numFmtId="0" xfId="0" applyBorder="1" applyFont="1"/>
    <xf borderId="3" fillId="7" fontId="0" numFmtId="0" xfId="0" applyBorder="1" applyFont="1"/>
    <xf borderId="2" fillId="6" fontId="9" numFmtId="0" xfId="0" applyAlignment="1" applyBorder="1" applyFont="1">
      <alignment readingOrder="0"/>
    </xf>
    <xf borderId="3" fillId="6" fontId="9" numFmtId="0" xfId="0" applyAlignment="1" applyBorder="1" applyFont="1">
      <alignment readingOrder="0"/>
    </xf>
    <xf borderId="5" fillId="7" fontId="27" numFmtId="0" xfId="0" applyAlignment="1" applyBorder="1" applyFont="1">
      <alignment horizontal="center" readingOrder="0"/>
    </xf>
    <xf borderId="10" fillId="6" fontId="9" numFmtId="0" xfId="0" applyBorder="1" applyFont="1"/>
    <xf borderId="0" fillId="6" fontId="28" numFmtId="0" xfId="0" applyAlignment="1" applyFont="1">
      <alignment readingOrder="0"/>
    </xf>
    <xf borderId="22" fillId="7" fontId="0" numFmtId="0" xfId="0" applyAlignment="1" applyBorder="1" applyFont="1">
      <alignment readingOrder="0"/>
    </xf>
    <xf borderId="10" fillId="6" fontId="11" numFmtId="0" xfId="0" applyAlignment="1" applyBorder="1" applyFont="1">
      <alignment horizontal="center" shrinkToFit="0" vertical="center" wrapText="1"/>
    </xf>
    <xf borderId="11" fillId="6" fontId="11" numFmtId="0" xfId="0" applyAlignment="1" applyBorder="1" applyFont="1">
      <alignment horizontal="center" shrinkToFit="0" vertical="center" wrapText="1"/>
    </xf>
    <xf borderId="3" fillId="6" fontId="11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vertical="bottom"/>
    </xf>
    <xf borderId="0" fillId="0" fontId="26" numFmtId="0" xfId="0" applyAlignment="1" applyFont="1">
      <alignment horizontal="right" vertical="bottom"/>
    </xf>
    <xf borderId="0" fillId="0" fontId="26" numFmtId="0" xfId="0" applyAlignment="1" applyFont="1">
      <alignment horizontal="right" vertical="bottom"/>
    </xf>
    <xf borderId="0" fillId="0" fontId="29" numFmtId="0" xfId="0" applyAlignment="1" applyFont="1">
      <alignment vertical="bottom"/>
    </xf>
    <xf borderId="23" fillId="7" fontId="30" numFmtId="49" xfId="0" applyAlignment="1" applyBorder="1" applyFont="1" applyNumberFormat="1">
      <alignment horizontal="left" readingOrder="0" shrinkToFit="0" wrapText="1"/>
    </xf>
    <xf borderId="24" fillId="9" fontId="20" numFmtId="49" xfId="0" applyAlignment="1" applyBorder="1" applyFill="1" applyFont="1" applyNumberFormat="1">
      <alignment horizontal="center" readingOrder="0" shrinkToFit="0" wrapText="1"/>
    </xf>
    <xf borderId="24" fillId="7" fontId="20" numFmtId="49" xfId="0" applyAlignment="1" applyBorder="1" applyFont="1" applyNumberFormat="1">
      <alignment horizontal="center" readingOrder="0" shrinkToFit="0" wrapText="1"/>
    </xf>
    <xf borderId="24" fillId="7" fontId="20" numFmtId="49" xfId="0" applyAlignment="1" applyBorder="1" applyFont="1" applyNumberFormat="1">
      <alignment horizontal="center" shrinkToFit="0" wrapText="1"/>
    </xf>
    <xf borderId="24" fillId="7" fontId="30" numFmtId="49" xfId="0" applyAlignment="1" applyBorder="1" applyFont="1" applyNumberFormat="1">
      <alignment horizontal="center" shrinkToFit="0" wrapText="1"/>
    </xf>
    <xf borderId="25" fillId="7" fontId="20" numFmtId="49" xfId="0" applyAlignment="1" applyBorder="1" applyFont="1" applyNumberFormat="1">
      <alignment horizontal="center" shrinkToFit="0" wrapText="1"/>
    </xf>
    <xf borderId="0" fillId="5" fontId="17" numFmtId="0" xfId="0" applyAlignment="1" applyFont="1">
      <alignment horizontal="right" vertical="bottom"/>
    </xf>
    <xf borderId="26" fillId="0" fontId="30" numFmtId="49" xfId="0" applyAlignment="1" applyBorder="1" applyFont="1" applyNumberFormat="1">
      <alignment horizontal="left" shrinkToFit="0" wrapText="1"/>
    </xf>
    <xf borderId="27" fillId="9" fontId="20" numFmtId="49" xfId="0" applyAlignment="1" applyBorder="1" applyFont="1" applyNumberFormat="1">
      <alignment horizontal="center" shrinkToFit="0" wrapText="1"/>
    </xf>
    <xf borderId="27" fillId="0" fontId="20" numFmtId="49" xfId="0" applyAlignment="1" applyBorder="1" applyFont="1" applyNumberFormat="1">
      <alignment horizontal="center" shrinkToFit="0" wrapText="1"/>
    </xf>
    <xf borderId="27" fillId="0" fontId="20" numFmtId="49" xfId="0" applyAlignment="1" applyBorder="1" applyFont="1" applyNumberFormat="1">
      <alignment horizontal="center" readingOrder="0" shrinkToFit="0" wrapText="1"/>
    </xf>
    <xf borderId="27" fillId="0" fontId="30" numFmtId="49" xfId="0" applyAlignment="1" applyBorder="1" applyFont="1" applyNumberFormat="1">
      <alignment horizontal="center" shrinkToFit="0" wrapText="1"/>
    </xf>
    <xf borderId="28" fillId="0" fontId="20" numFmtId="49" xfId="0" applyAlignment="1" applyBorder="1" applyFont="1" applyNumberFormat="1">
      <alignment horizontal="center" shrinkToFit="0" wrapText="1"/>
    </xf>
    <xf borderId="26" fillId="7" fontId="30" numFmtId="49" xfId="0" applyAlignment="1" applyBorder="1" applyFont="1" applyNumberFormat="1">
      <alignment horizontal="left" shrinkToFit="0" wrapText="1"/>
    </xf>
    <xf borderId="27" fillId="7" fontId="20" numFmtId="49" xfId="0" applyAlignment="1" applyBorder="1" applyFont="1" applyNumberFormat="1">
      <alignment horizontal="center" shrinkToFit="0" wrapText="1"/>
    </xf>
    <xf borderId="27" fillId="7" fontId="30" numFmtId="49" xfId="0" applyAlignment="1" applyBorder="1" applyFont="1" applyNumberFormat="1">
      <alignment horizontal="center" shrinkToFit="0" wrapText="1"/>
    </xf>
    <xf borderId="28" fillId="7" fontId="20" numFmtId="49" xfId="0" applyAlignment="1" applyBorder="1" applyFont="1" applyNumberFormat="1">
      <alignment horizontal="center" shrinkToFit="0" wrapText="1"/>
    </xf>
    <xf borderId="29" fillId="0" fontId="30" numFmtId="49" xfId="0" applyAlignment="1" applyBorder="1" applyFont="1" applyNumberFormat="1">
      <alignment horizontal="left" shrinkToFit="0" wrapText="1"/>
    </xf>
    <xf borderId="30" fillId="9" fontId="20" numFmtId="49" xfId="0" applyAlignment="1" applyBorder="1" applyFont="1" applyNumberFormat="1">
      <alignment horizontal="center" shrinkToFit="0" wrapText="1"/>
    </xf>
    <xf borderId="30" fillId="0" fontId="20" numFmtId="49" xfId="0" applyAlignment="1" applyBorder="1" applyFont="1" applyNumberFormat="1">
      <alignment horizontal="center" shrinkToFit="0" wrapText="1"/>
    </xf>
    <xf borderId="30" fillId="0" fontId="30" numFmtId="49" xfId="0" applyAlignment="1" applyBorder="1" applyFont="1" applyNumberFormat="1">
      <alignment horizontal="center" shrinkToFit="0" wrapText="1"/>
    </xf>
    <xf borderId="31" fillId="0" fontId="20" numFmtId="49" xfId="0" applyAlignment="1" applyBorder="1" applyFont="1" applyNumberFormat="1">
      <alignment horizontal="center" shrinkToFit="0" wrapText="1"/>
    </xf>
    <xf borderId="15" fillId="6" fontId="19" numFmtId="0" xfId="0" applyAlignment="1" applyBorder="1" applyFont="1">
      <alignment horizontal="left" readingOrder="0" vertical="center"/>
    </xf>
    <xf borderId="12" fillId="6" fontId="19" numFmtId="0" xfId="0" applyAlignment="1" applyBorder="1" applyFont="1">
      <alignment horizontal="center" readingOrder="0" vertical="center"/>
    </xf>
    <xf borderId="0" fillId="6" fontId="7" numFmtId="0" xfId="0" applyFont="1"/>
    <xf borderId="0" fillId="6" fontId="19" numFmtId="0" xfId="0" applyAlignment="1" applyFont="1">
      <alignment horizontal="left" readingOrder="0" vertical="center"/>
    </xf>
    <xf borderId="0" fillId="6" fontId="19" numFmtId="0" xfId="0" applyAlignment="1" applyFont="1">
      <alignment horizontal="center" readingOrder="0" vertical="center"/>
    </xf>
    <xf borderId="7" fillId="6" fontId="19" numFmtId="0" xfId="0" applyAlignment="1" applyBorder="1" applyFont="1">
      <alignment horizontal="center" readingOrder="0" vertical="center"/>
    </xf>
    <xf borderId="0" fillId="5" fontId="26" numFmtId="0" xfId="0" applyAlignment="1" applyFont="1">
      <alignment vertical="bottom"/>
    </xf>
    <xf borderId="6" fillId="7" fontId="18" numFmtId="0" xfId="0" applyAlignment="1" applyBorder="1" applyFont="1">
      <alignment horizontal="center" readingOrder="0" vertical="center"/>
    </xf>
    <xf borderId="6" fillId="7" fontId="18" numFmtId="0" xfId="0" applyAlignment="1" applyBorder="1" applyFont="1">
      <alignment horizontal="left" readingOrder="0" vertical="center"/>
    </xf>
    <xf borderId="6" fillId="6" fontId="7" numFmtId="0" xfId="0" applyBorder="1" applyFont="1"/>
    <xf borderId="10" fillId="7" fontId="18" numFmtId="0" xfId="0" applyAlignment="1" applyBorder="1" applyFont="1">
      <alignment horizontal="left" readingOrder="0" vertical="center"/>
    </xf>
    <xf borderId="11" fillId="7" fontId="18" numFmtId="0" xfId="0" applyAlignment="1" applyBorder="1" applyFont="1">
      <alignment horizontal="left" readingOrder="0" vertical="center"/>
    </xf>
    <xf borderId="14" fillId="7" fontId="18" numFmtId="0" xfId="0" applyAlignment="1" applyBorder="1" applyFont="1">
      <alignment horizontal="center" readingOrder="0" vertical="center"/>
    </xf>
    <xf borderId="22" fillId="7" fontId="18" numFmtId="0" xfId="0" applyAlignment="1" applyBorder="1" applyFont="1">
      <alignment horizontal="center" readingOrder="0" vertical="center"/>
    </xf>
    <xf borderId="6" fillId="5" fontId="18" numFmtId="0" xfId="0" applyAlignment="1" applyBorder="1" applyFont="1">
      <alignment horizontal="center" readingOrder="0" vertical="center"/>
    </xf>
    <xf borderId="6" fillId="5" fontId="18" numFmtId="0" xfId="0" applyAlignment="1" applyBorder="1" applyFont="1">
      <alignment horizontal="left" readingOrder="0" vertical="center"/>
    </xf>
    <xf borderId="0" fillId="5" fontId="18" numFmtId="0" xfId="0" applyAlignment="1" applyFont="1">
      <alignment horizontal="left" readingOrder="0" vertical="center"/>
    </xf>
    <xf borderId="7" fillId="5" fontId="18" numFmtId="0" xfId="0" applyAlignment="1" applyBorder="1" applyFont="1">
      <alignment horizontal="center" readingOrder="0" vertical="center"/>
    </xf>
    <xf borderId="32" fillId="5" fontId="18" numFmtId="0" xfId="0" applyAlignment="1" applyBorder="1" applyFont="1">
      <alignment horizontal="center" readingOrder="0" vertical="center"/>
    </xf>
    <xf borderId="6" fillId="7" fontId="18" numFmtId="0" xfId="0" applyAlignment="1" applyBorder="1" applyFont="1">
      <alignment horizontal="center" vertical="center"/>
    </xf>
    <xf borderId="0" fillId="7" fontId="18" numFmtId="0" xfId="0" applyAlignment="1" applyFont="1">
      <alignment horizontal="left" readingOrder="0" vertical="center"/>
    </xf>
    <xf borderId="7" fillId="7" fontId="18" numFmtId="0" xfId="0" applyAlignment="1" applyBorder="1" applyFont="1">
      <alignment horizontal="center" readingOrder="0" vertical="center"/>
    </xf>
    <xf borderId="32" fillId="7" fontId="18" numFmtId="0" xfId="0" applyAlignment="1" applyBorder="1" applyFont="1">
      <alignment horizontal="center" readingOrder="0" vertical="center"/>
    </xf>
    <xf borderId="6" fillId="5" fontId="18" numFmtId="0" xfId="0" applyAlignment="1" applyBorder="1" applyFont="1">
      <alignment horizontal="center" vertical="center"/>
    </xf>
    <xf borderId="33" fillId="5" fontId="18" numFmtId="0" xfId="0" applyAlignment="1" applyBorder="1" applyFont="1">
      <alignment horizontal="left" readingOrder="0" vertical="center"/>
    </xf>
    <xf borderId="34" fillId="5" fontId="18" numFmtId="0" xfId="0" applyAlignment="1" applyBorder="1" applyFont="1">
      <alignment horizontal="left" readingOrder="0" vertical="center"/>
    </xf>
    <xf borderId="35" fillId="5" fontId="18" numFmtId="0" xfId="0" applyAlignment="1" applyBorder="1" applyFont="1">
      <alignment horizontal="center" readingOrder="0" vertical="center"/>
    </xf>
    <xf borderId="36" fillId="5" fontId="18" numFmtId="0" xfId="0" applyAlignment="1" applyBorder="1" applyFont="1">
      <alignment horizontal="center" readingOrder="0" vertical="center"/>
    </xf>
    <xf borderId="32" fillId="6" fontId="7" numFmtId="0" xfId="0" applyBorder="1" applyFont="1"/>
    <xf borderId="15" fillId="7" fontId="18" numFmtId="0" xfId="0" applyAlignment="1" applyBorder="1" applyFont="1">
      <alignment horizontal="left" readingOrder="0" vertical="center"/>
    </xf>
    <xf borderId="12" fillId="7" fontId="18" numFmtId="0" xfId="0" applyAlignment="1" applyBorder="1" applyFont="1">
      <alignment horizontal="left" vertical="center"/>
    </xf>
    <xf borderId="13" fillId="7" fontId="18" numFmtId="0" xfId="0" applyAlignment="1" applyBorder="1" applyFont="1">
      <alignment horizontal="center" vertical="center"/>
    </xf>
    <xf borderId="37" fillId="7" fontId="18" numFmtId="0" xfId="0" applyAlignment="1" applyBorder="1" applyFont="1">
      <alignment horizontal="center" vertical="center"/>
    </xf>
    <xf borderId="22" fillId="5" fontId="18" numFmtId="0" xfId="0" applyAlignment="1" applyBorder="1" applyFont="1">
      <alignment horizontal="left" readingOrder="0" vertical="center"/>
    </xf>
    <xf borderId="22" fillId="5" fontId="18" numFmtId="0" xfId="0" applyAlignment="1" applyBorder="1" applyFont="1">
      <alignment horizontal="center" readingOrder="0" vertical="center"/>
    </xf>
    <xf borderId="32" fillId="7" fontId="18" numFmtId="0" xfId="0" applyAlignment="1" applyBorder="1" applyFont="1">
      <alignment horizontal="left" readingOrder="0" vertical="center"/>
    </xf>
    <xf borderId="32" fillId="7" fontId="18" numFmtId="0" xfId="0" applyAlignment="1" applyBorder="1" applyFont="1">
      <alignment horizontal="center" vertical="center"/>
    </xf>
    <xf borderId="32" fillId="5" fontId="18" numFmtId="0" xfId="0" applyAlignment="1" applyBorder="1" applyFont="1">
      <alignment horizontal="left" readingOrder="0" vertical="center"/>
    </xf>
    <xf borderId="37" fillId="7" fontId="18" numFmtId="0" xfId="0" applyAlignment="1" applyBorder="1" applyFont="1">
      <alignment horizontal="left" readingOrder="0" vertical="center"/>
    </xf>
    <xf borderId="0" fillId="6" fontId="19" numFmtId="0" xfId="0" applyAlignment="1" applyFont="1">
      <alignment horizontal="left" vertical="center"/>
    </xf>
    <xf borderId="2" fillId="5" fontId="18" numFmtId="0" xfId="0" applyAlignment="1" applyBorder="1" applyFont="1">
      <alignment horizontal="left" vertical="center"/>
    </xf>
    <xf borderId="5" fillId="5" fontId="18" numFmtId="0" xfId="0" applyAlignment="1" applyBorder="1" applyFont="1">
      <alignment horizontal="center" vertical="center"/>
    </xf>
    <xf borderId="6" fillId="6" fontId="31" numFmtId="0" xfId="0" applyAlignment="1" applyBorder="1" applyFont="1">
      <alignment readingOrder="0" shrinkToFit="0" vertical="top" wrapText="1"/>
    </xf>
    <xf borderId="0" fillId="0" fontId="26" numFmtId="0" xfId="0" applyAlignment="1" applyFont="1">
      <alignment readingOrder="0" vertical="bottom"/>
    </xf>
    <xf borderId="10" fillId="5" fontId="18" numFmtId="0" xfId="0" applyAlignment="1" applyBorder="1" applyFont="1">
      <alignment horizontal="left" readingOrder="0" vertical="center"/>
    </xf>
    <xf borderId="22" fillId="5" fontId="18" numFmtId="0" xfId="0" applyAlignment="1" applyBorder="1" applyFont="1">
      <alignment horizontal="center" vertical="center"/>
    </xf>
    <xf borderId="32" fillId="6" fontId="31" numFmtId="0" xfId="0" applyAlignment="1" applyBorder="1" applyFont="1">
      <alignment readingOrder="0" shrinkToFit="0" vertical="top" wrapText="1"/>
    </xf>
    <xf borderId="32" fillId="5" fontId="18" numFmtId="0" xfId="0" applyAlignment="1" applyBorder="1" applyFont="1">
      <alignment horizontal="center" vertical="center"/>
    </xf>
    <xf borderId="0" fillId="0" fontId="26" numFmtId="169" xfId="0" applyAlignment="1" applyFont="1" applyNumberFormat="1">
      <alignment vertical="bottom"/>
    </xf>
    <xf borderId="7" fillId="5" fontId="18" numFmtId="0" xfId="0" applyAlignment="1" applyBorder="1" applyFont="1">
      <alignment horizontal="center" vertical="center"/>
    </xf>
    <xf borderId="0" fillId="6" fontId="31" numFmtId="0" xfId="0" applyAlignment="1" applyFont="1">
      <alignment readingOrder="0" shrinkToFit="0" vertical="top" wrapText="1"/>
    </xf>
    <xf borderId="7" fillId="7" fontId="18" numFmtId="0" xfId="0" applyAlignment="1" applyBorder="1" applyFont="1">
      <alignment horizontal="center" vertical="center"/>
    </xf>
    <xf borderId="7" fillId="6" fontId="19" numFmtId="0" xfId="0" applyAlignment="1" applyBorder="1" applyFont="1">
      <alignment horizontal="left" readingOrder="0" vertical="center"/>
    </xf>
    <xf borderId="0" fillId="5" fontId="32" numFmtId="0" xfId="0" applyAlignment="1" applyFont="1">
      <alignment horizontal="left" readingOrder="0" shrinkToFit="0" vertical="top" wrapText="1"/>
    </xf>
    <xf borderId="13" fillId="5" fontId="18" numFmtId="0" xfId="0" applyAlignment="1" applyBorder="1" applyFont="1">
      <alignment horizontal="center" vertical="center"/>
    </xf>
    <xf borderId="12" fillId="5" fontId="18" numFmtId="0" xfId="0" applyAlignment="1" applyBorder="1" applyFont="1">
      <alignment horizontal="left" readingOrder="0" vertical="center"/>
    </xf>
    <xf borderId="37" fillId="5" fontId="18" numFmtId="0" xfId="0" applyAlignment="1" applyBorder="1" applyFont="1">
      <alignment horizontal="center" vertical="center"/>
    </xf>
    <xf borderId="13" fillId="6" fontId="19" numFmtId="0" xfId="0" applyAlignment="1" applyBorder="1" applyFont="1">
      <alignment horizontal="left" readingOrder="0" vertical="center"/>
    </xf>
    <xf borderId="6" fillId="5" fontId="18" numFmtId="0" xfId="0" applyAlignment="1" applyBorder="1" applyFont="1">
      <alignment horizontal="left" shrinkToFit="0" vertical="top" wrapText="1"/>
    </xf>
    <xf borderId="11" fillId="0" fontId="33" numFmtId="0" xfId="0" applyAlignment="1" applyBorder="1" applyFont="1">
      <alignment horizontal="center" readingOrder="0" shrinkToFit="0" vertical="center" wrapText="1"/>
    </xf>
    <xf borderId="0" fillId="0" fontId="34" numFmtId="0" xfId="0" applyFont="1"/>
    <xf borderId="0" fillId="0" fontId="35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  <xf borderId="38" fillId="10" fontId="7" numFmtId="0" xfId="0" applyAlignment="1" applyBorder="1" applyFill="1" applyFont="1">
      <alignment horizontal="right" readingOrder="0"/>
    </xf>
    <xf borderId="0" fillId="10" fontId="34" numFmtId="0" xfId="0" applyAlignment="1" applyFont="1">
      <alignment readingOrder="0" shrinkToFit="0" wrapText="0"/>
    </xf>
    <xf borderId="38" fillId="10" fontId="7" numFmtId="0" xfId="0" applyAlignment="1" applyBorder="1" applyFont="1">
      <alignment readingOrder="0"/>
    </xf>
    <xf borderId="38" fillId="10" fontId="7" numFmtId="0" xfId="0" applyBorder="1" applyFont="1"/>
    <xf borderId="2" fillId="7" fontId="34" numFmtId="0" xfId="0" applyBorder="1" applyFont="1"/>
    <xf borderId="10" fillId="6" fontId="14" numFmtId="0" xfId="0" applyAlignment="1" applyBorder="1" applyFont="1">
      <alignment readingOrder="0"/>
    </xf>
    <xf borderId="2" fillId="5" fontId="0" numFmtId="0" xfId="0" applyAlignment="1" applyBorder="1" applyFont="1">
      <alignment horizontal="center" readingOrder="0"/>
    </xf>
    <xf borderId="2" fillId="6" fontId="36" numFmtId="0" xfId="0" applyAlignment="1" applyBorder="1" applyFont="1">
      <alignment readingOrder="0"/>
    </xf>
    <xf borderId="0" fillId="0" fontId="7" numFmtId="1" xfId="0" applyAlignment="1" applyFont="1" applyNumberFormat="1">
      <alignment readingOrder="0"/>
    </xf>
    <xf borderId="10" fillId="7" fontId="34" numFmtId="0" xfId="0" applyAlignment="1" applyBorder="1" applyFont="1">
      <alignment readingOrder="0"/>
    </xf>
    <xf borderId="0" fillId="7" fontId="34" numFmtId="0" xfId="0" applyFont="1"/>
    <xf borderId="10" fillId="0" fontId="34" numFmtId="0" xfId="0" applyBorder="1" applyFont="1"/>
    <xf borderId="0" fillId="0" fontId="7" numFmtId="1" xfId="0" applyFont="1" applyNumberFormat="1"/>
    <xf borderId="6" fillId="5" fontId="34" numFmtId="0" xfId="0" applyAlignment="1" applyBorder="1" applyFont="1">
      <alignment readingOrder="0"/>
    </xf>
    <xf borderId="0" fillId="5" fontId="34" numFmtId="0" xfId="0" applyAlignment="1" applyFont="1">
      <alignment readingOrder="0"/>
    </xf>
    <xf borderId="15" fillId="7" fontId="34" numFmtId="0" xfId="0" applyAlignment="1" applyBorder="1" applyFont="1">
      <alignment readingOrder="0"/>
    </xf>
    <xf borderId="2" fillId="6" fontId="37" numFmtId="0" xfId="0" applyAlignment="1" applyBorder="1" applyFont="1">
      <alignment readingOrder="0"/>
    </xf>
    <xf borderId="3" fillId="6" fontId="37" numFmtId="0" xfId="0" applyAlignment="1" applyBorder="1" applyFont="1">
      <alignment horizontal="center" readingOrder="0"/>
    </xf>
    <xf borderId="3" fillId="6" fontId="37" numFmtId="0" xfId="0" applyAlignment="1" applyBorder="1" applyFont="1">
      <alignment horizontal="center"/>
    </xf>
    <xf borderId="39" fillId="10" fontId="7" numFmtId="0" xfId="0" applyBorder="1" applyFont="1"/>
    <xf borderId="40" fillId="10" fontId="7" numFmtId="0" xfId="0" applyBorder="1" applyFont="1"/>
    <xf borderId="10" fillId="7" fontId="38" numFmtId="0" xfId="0" applyAlignment="1" applyBorder="1" applyFont="1">
      <alignment readingOrder="0"/>
    </xf>
    <xf borderId="23" fillId="7" fontId="20" numFmtId="49" xfId="0" applyAlignment="1" applyBorder="1" applyFont="1" applyNumberFormat="1">
      <alignment horizontal="center" shrinkToFit="0" wrapText="1"/>
    </xf>
    <xf borderId="24" fillId="7" fontId="20" numFmtId="1" xfId="0" applyAlignment="1" applyBorder="1" applyFont="1" applyNumberFormat="1">
      <alignment horizontal="center" shrinkToFit="0" wrapText="1"/>
    </xf>
    <xf borderId="41" fillId="7" fontId="20" numFmtId="1" xfId="0" applyAlignment="1" applyBorder="1" applyFont="1" applyNumberFormat="1">
      <alignment horizontal="center" shrinkToFit="0" wrapText="1"/>
    </xf>
    <xf borderId="41" fillId="7" fontId="20" numFmtId="49" xfId="0" applyAlignment="1" applyBorder="1" applyFont="1" applyNumberFormat="1">
      <alignment horizontal="center" shrinkToFit="0" wrapText="1"/>
    </xf>
    <xf borderId="10" fillId="5" fontId="10" numFmtId="0" xfId="0" applyAlignment="1" applyBorder="1" applyFont="1">
      <alignment horizontal="center" shrinkToFit="0" vertical="center" wrapText="1"/>
    </xf>
    <xf borderId="42" fillId="5" fontId="0" numFmtId="49" xfId="0" applyAlignment="1" applyBorder="1" applyFont="1" applyNumberFormat="1">
      <alignment horizontal="left" readingOrder="0" shrinkToFit="0" wrapText="1"/>
    </xf>
    <xf borderId="43" fillId="0" fontId="7" numFmtId="0" xfId="0" applyBorder="1" applyFont="1"/>
    <xf borderId="26" fillId="5" fontId="20" numFmtId="49" xfId="0" applyAlignment="1" applyBorder="1" applyFont="1" applyNumberFormat="1">
      <alignment horizontal="center" shrinkToFit="0" wrapText="1"/>
    </xf>
    <xf borderId="27" fillId="5" fontId="20" numFmtId="1" xfId="0" applyAlignment="1" applyBorder="1" applyFont="1" applyNumberFormat="1">
      <alignment horizontal="center" shrinkToFit="0" wrapText="1"/>
    </xf>
    <xf borderId="43" fillId="5" fontId="20" numFmtId="1" xfId="0" applyAlignment="1" applyBorder="1" applyFont="1" applyNumberFormat="1">
      <alignment horizontal="center" shrinkToFit="0" wrapText="1"/>
    </xf>
    <xf borderId="43" fillId="5" fontId="20" numFmtId="49" xfId="0" applyAlignment="1" applyBorder="1" applyFont="1" applyNumberFormat="1">
      <alignment horizontal="center" shrinkToFit="0" wrapText="1"/>
    </xf>
    <xf borderId="0" fillId="0" fontId="7" numFmtId="2" xfId="0" applyFont="1" applyNumberFormat="1"/>
    <xf borderId="44" fillId="7" fontId="0" numFmtId="49" xfId="0" applyAlignment="1" applyBorder="1" applyFont="1" applyNumberFormat="1">
      <alignment horizontal="left" shrinkToFit="0" wrapText="1"/>
    </xf>
    <xf borderId="26" fillId="7" fontId="20" numFmtId="49" xfId="0" applyAlignment="1" applyBorder="1" applyFont="1" applyNumberFormat="1">
      <alignment horizontal="center" shrinkToFit="0" wrapText="1"/>
    </xf>
    <xf borderId="27" fillId="7" fontId="20" numFmtId="1" xfId="0" applyAlignment="1" applyBorder="1" applyFont="1" applyNumberFormat="1">
      <alignment horizontal="center" shrinkToFit="0" wrapText="1"/>
    </xf>
    <xf borderId="43" fillId="7" fontId="20" numFmtId="1" xfId="0" applyAlignment="1" applyBorder="1" applyFont="1" applyNumberFormat="1">
      <alignment horizontal="center" shrinkToFit="0" wrapText="1"/>
    </xf>
    <xf borderId="43" fillId="7" fontId="20" numFmtId="49" xfId="0" applyAlignment="1" applyBorder="1" applyFont="1" applyNumberFormat="1">
      <alignment horizontal="center" shrinkToFit="0" wrapText="1"/>
    </xf>
    <xf borderId="44" fillId="5" fontId="0" numFmtId="49" xfId="0" applyAlignment="1" applyBorder="1" applyFont="1" applyNumberFormat="1">
      <alignment horizontal="left" shrinkToFit="0" wrapText="1"/>
    </xf>
    <xf borderId="6" fillId="5" fontId="38" numFmtId="0" xfId="0" applyAlignment="1" applyBorder="1" applyFont="1">
      <alignment readingOrder="0"/>
    </xf>
    <xf borderId="29" fillId="5" fontId="20" numFmtId="49" xfId="0" applyAlignment="1" applyBorder="1" applyFont="1" applyNumberFormat="1">
      <alignment horizontal="center" shrinkToFit="0" wrapText="1"/>
    </xf>
    <xf borderId="30" fillId="5" fontId="20" numFmtId="1" xfId="0" applyAlignment="1" applyBorder="1" applyFont="1" applyNumberFormat="1">
      <alignment horizontal="center" shrinkToFit="0" wrapText="1"/>
    </xf>
    <xf borderId="45" fillId="5" fontId="20" numFmtId="1" xfId="0" applyAlignment="1" applyBorder="1" applyFont="1" applyNumberFormat="1">
      <alignment horizontal="center" shrinkToFit="0" wrapText="1"/>
    </xf>
    <xf borderId="45" fillId="5" fontId="20" numFmtId="49" xfId="0" applyAlignment="1" applyBorder="1" applyFont="1" applyNumberFormat="1">
      <alignment horizontal="center" shrinkToFit="0" wrapText="1"/>
    </xf>
    <xf borderId="3" fillId="6" fontId="37" numFmtId="0" xfId="0" applyAlignment="1" applyBorder="1" applyFont="1">
      <alignment readingOrder="0"/>
    </xf>
    <xf borderId="46" fillId="7" fontId="38" numFmtId="0" xfId="0" applyAlignment="1" applyBorder="1" applyFont="1">
      <alignment readingOrder="0"/>
    </xf>
    <xf borderId="46" fillId="7" fontId="38" numFmtId="1" xfId="0" applyAlignment="1" applyBorder="1" applyFont="1" applyNumberFormat="1">
      <alignment readingOrder="0"/>
    </xf>
    <xf borderId="47" fillId="7" fontId="38" numFmtId="1" xfId="0" applyAlignment="1" applyBorder="1" applyFont="1" applyNumberFormat="1">
      <alignment readingOrder="0"/>
    </xf>
    <xf borderId="47" fillId="7" fontId="38" numFmtId="0" xfId="0" applyAlignment="1" applyBorder="1" applyFont="1">
      <alignment readingOrder="0"/>
    </xf>
    <xf borderId="10" fillId="0" fontId="39" numFmtId="0" xfId="0" applyAlignment="1" applyBorder="1" applyFont="1">
      <alignment horizontal="center" vertical="center"/>
    </xf>
    <xf borderId="43" fillId="5" fontId="38" numFmtId="0" xfId="0" applyAlignment="1" applyBorder="1" applyFont="1">
      <alignment readingOrder="0"/>
    </xf>
    <xf borderId="43" fillId="5" fontId="38" numFmtId="1" xfId="0" applyAlignment="1" applyBorder="1" applyFont="1" applyNumberFormat="1">
      <alignment readingOrder="0"/>
    </xf>
    <xf borderId="44" fillId="5" fontId="38" numFmtId="1" xfId="0" applyAlignment="1" applyBorder="1" applyFont="1" applyNumberFormat="1">
      <alignment readingOrder="0"/>
    </xf>
    <xf borderId="44" fillId="5" fontId="38" numFmtId="0" xfId="0" applyAlignment="1" applyBorder="1" applyFont="1">
      <alignment readingOrder="0"/>
    </xf>
    <xf borderId="37" fillId="6" fontId="11" numFmtId="0" xfId="0" applyAlignment="1" applyBorder="1" applyFont="1">
      <alignment horizontal="center" readingOrder="0" shrinkToFit="0" vertical="center" wrapText="1"/>
    </xf>
    <xf borderId="27" fillId="5" fontId="20" numFmtId="49" xfId="0" applyAlignment="1" applyBorder="1" applyFont="1" applyNumberFormat="1">
      <alignment horizontal="center" shrinkToFit="0" wrapText="1"/>
    </xf>
    <xf borderId="27" fillId="5" fontId="30" numFmtId="49" xfId="0" applyAlignment="1" applyBorder="1" applyFont="1" applyNumberFormat="1">
      <alignment horizontal="center" shrinkToFit="0" wrapText="1"/>
    </xf>
    <xf borderId="28" fillId="5" fontId="20" numFmtId="49" xfId="0" applyAlignment="1" applyBorder="1" applyFont="1" applyNumberFormat="1">
      <alignment horizontal="center" shrinkToFit="0" wrapText="1"/>
    </xf>
    <xf borderId="30" fillId="5" fontId="20" numFmtId="49" xfId="0" applyAlignment="1" applyBorder="1" applyFont="1" applyNumberFormat="1">
      <alignment horizontal="center" shrinkToFit="0" wrapText="1"/>
    </xf>
    <xf borderId="30" fillId="5" fontId="30" numFmtId="49" xfId="0" applyAlignment="1" applyBorder="1" applyFont="1" applyNumberFormat="1">
      <alignment horizontal="center" shrinkToFit="0" wrapText="1"/>
    </xf>
    <xf borderId="31" fillId="5" fontId="20" numFmtId="49" xfId="0" applyAlignment="1" applyBorder="1" applyFont="1" applyNumberFormat="1">
      <alignment horizontal="center" shrinkToFit="0" wrapText="1"/>
    </xf>
    <xf borderId="48" fillId="10" fontId="7" numFmtId="0" xfId="0" applyBorder="1" applyFont="1"/>
  </cellXfs>
  <cellStyles count="1">
    <cellStyle xfId="0" name="Normal" builtinId="0"/>
  </cellStyles>
  <dxfs count="5">
    <dxf>
      <font>
        <u/>
      </font>
      <fill>
        <patternFill patternType="none"/>
      </fill>
      <border/>
    </dxf>
    <dxf>
      <font>
        <color rgb="FFB7B7B7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9F2"/>
          <bgColor rgb="FFFFF9F2"/>
        </patternFill>
      </fill>
      <border/>
    </dxf>
  </dxfs>
  <tableStyles count="1">
    <tableStyle count="2" pivot="0" name="Room Selection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D2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Room Selection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7.86"/>
    <col customWidth="1" min="4" max="4" width="2.57"/>
  </cols>
  <sheetData>
    <row r="1" ht="0.75" customHeight="1">
      <c r="A1" s="1"/>
    </row>
    <row r="2" ht="30.0" customHeight="1">
      <c r="A2" s="2" t="s">
        <v>0</v>
      </c>
    </row>
    <row r="3" ht="21.0" customHeight="1">
      <c r="A3" s="3"/>
      <c r="B3" s="4" t="s">
        <v>1</v>
      </c>
      <c r="C3" s="5" t="s">
        <v>2</v>
      </c>
      <c r="D3" s="6"/>
    </row>
    <row r="4" ht="25.5" customHeight="1">
      <c r="A4" s="7" t="b">
        <v>0</v>
      </c>
      <c r="B4" s="7" t="s">
        <v>3</v>
      </c>
      <c r="C4" s="8">
        <v>1.0</v>
      </c>
      <c r="D4" s="9"/>
    </row>
    <row r="5" ht="25.5" customHeight="1">
      <c r="A5" s="7" t="b">
        <v>0</v>
      </c>
      <c r="B5" s="7" t="s">
        <v>4</v>
      </c>
      <c r="C5" s="8">
        <v>1.0</v>
      </c>
      <c r="D5" s="8"/>
    </row>
    <row r="6" ht="25.5" customHeight="1">
      <c r="A6" s="7" t="b">
        <v>0</v>
      </c>
      <c r="B6" s="7" t="s">
        <v>5</v>
      </c>
      <c r="C6" s="8">
        <v>1.0</v>
      </c>
      <c r="D6" s="8"/>
    </row>
    <row r="7" ht="25.5" customHeight="1">
      <c r="A7" s="7" t="b">
        <v>0</v>
      </c>
      <c r="B7" s="7" t="s">
        <v>6</v>
      </c>
      <c r="C7" s="8">
        <v>1.0</v>
      </c>
      <c r="D7" s="8"/>
    </row>
    <row r="8" ht="25.5" customHeight="1">
      <c r="A8" s="7" t="b">
        <v>0</v>
      </c>
      <c r="B8" s="7" t="s">
        <v>7</v>
      </c>
      <c r="C8" s="8">
        <v>1.0</v>
      </c>
      <c r="D8" s="8"/>
    </row>
    <row r="9" ht="25.5" customHeight="1">
      <c r="A9" s="7" t="b">
        <v>0</v>
      </c>
      <c r="B9" s="7" t="s">
        <v>8</v>
      </c>
      <c r="C9" s="8">
        <v>1.0</v>
      </c>
      <c r="D9" s="8"/>
    </row>
    <row r="10" ht="25.5" customHeight="1">
      <c r="A10" s="7" t="b">
        <v>0</v>
      </c>
      <c r="B10" s="7" t="s">
        <v>9</v>
      </c>
      <c r="C10" s="8">
        <v>1.0</v>
      </c>
      <c r="D10" s="8"/>
    </row>
    <row r="11" ht="25.5" customHeight="1">
      <c r="A11" s="7" t="b">
        <v>0</v>
      </c>
      <c r="B11" s="7" t="s">
        <v>10</v>
      </c>
      <c r="C11" s="8">
        <v>1.0</v>
      </c>
      <c r="D11" s="8"/>
    </row>
    <row r="12" ht="25.5" customHeight="1">
      <c r="A12" s="7" t="b">
        <v>0</v>
      </c>
      <c r="B12" s="7" t="s">
        <v>11</v>
      </c>
      <c r="C12" s="8">
        <v>1.0</v>
      </c>
      <c r="D12" s="8"/>
    </row>
    <row r="13" ht="25.5" customHeight="1">
      <c r="A13" s="7" t="b">
        <v>0</v>
      </c>
      <c r="B13" s="7" t="s">
        <v>12</v>
      </c>
      <c r="C13" s="8">
        <v>1.0</v>
      </c>
      <c r="D13" s="8"/>
    </row>
    <row r="14" ht="25.5" customHeight="1">
      <c r="A14" s="7" t="b">
        <v>0</v>
      </c>
      <c r="B14" s="7" t="s">
        <v>13</v>
      </c>
      <c r="C14" s="8">
        <v>1.0</v>
      </c>
      <c r="D14" s="8"/>
    </row>
    <row r="15" ht="25.5" customHeight="1">
      <c r="A15" s="7" t="b">
        <v>0</v>
      </c>
      <c r="B15" s="7" t="s">
        <v>14</v>
      </c>
      <c r="C15" s="8">
        <v>1.0</v>
      </c>
      <c r="D15" s="8"/>
    </row>
    <row r="16" ht="25.5" customHeight="1">
      <c r="A16" s="7" t="b">
        <v>0</v>
      </c>
      <c r="B16" s="7" t="s">
        <v>15</v>
      </c>
      <c r="C16" s="8">
        <v>1.0</v>
      </c>
      <c r="D16" s="8"/>
    </row>
    <row r="17" ht="25.5" customHeight="1">
      <c r="A17" s="7" t="b">
        <v>0</v>
      </c>
      <c r="B17" s="7" t="s">
        <v>16</v>
      </c>
      <c r="C17" s="8">
        <v>1.0</v>
      </c>
      <c r="D17" s="8"/>
    </row>
    <row r="18" ht="25.5" customHeight="1">
      <c r="A18" s="7" t="b">
        <v>0</v>
      </c>
      <c r="B18" s="7" t="s">
        <v>17</v>
      </c>
      <c r="C18" s="8">
        <v>1.0</v>
      </c>
      <c r="D18" s="8"/>
    </row>
    <row r="19" ht="25.5" customHeight="1">
      <c r="A19" s="7" t="b">
        <v>0</v>
      </c>
      <c r="B19" s="7" t="s">
        <v>18</v>
      </c>
      <c r="C19" s="8">
        <v>1.0</v>
      </c>
      <c r="D19" s="8"/>
    </row>
    <row r="20" ht="25.5" customHeight="1">
      <c r="A20" s="7" t="b">
        <v>0</v>
      </c>
      <c r="B20" s="7" t="s">
        <v>19</v>
      </c>
      <c r="C20" s="8">
        <v>1.0</v>
      </c>
      <c r="D20" s="8"/>
    </row>
    <row r="21" ht="25.5" customHeight="1">
      <c r="A21" s="7" t="b">
        <v>0</v>
      </c>
      <c r="B21" s="7" t="s">
        <v>20</v>
      </c>
      <c r="C21" s="8">
        <v>1.0</v>
      </c>
      <c r="D21" s="8"/>
    </row>
    <row r="22" ht="25.5" customHeight="1">
      <c r="A22" s="7" t="b">
        <v>0</v>
      </c>
      <c r="B22" s="7" t="s">
        <v>21</v>
      </c>
      <c r="C22" s="8">
        <v>1.0</v>
      </c>
      <c r="D22" s="8"/>
    </row>
    <row r="23" ht="25.5" customHeight="1">
      <c r="A23" s="7" t="b">
        <v>0</v>
      </c>
      <c r="B23" s="7" t="s">
        <v>22</v>
      </c>
      <c r="C23" s="8">
        <v>1.0</v>
      </c>
      <c r="D23" s="8"/>
    </row>
    <row r="24" ht="25.5" customHeight="1">
      <c r="A24" s="7"/>
      <c r="B24" s="7"/>
      <c r="C24" s="8"/>
      <c r="D24" s="8"/>
    </row>
    <row r="25" ht="25.5" customHeight="1">
      <c r="A25" s="7"/>
      <c r="B25" s="7"/>
      <c r="C25" s="8"/>
      <c r="D25" s="8"/>
    </row>
  </sheetData>
  <mergeCells count="2">
    <mergeCell ref="A1:D1"/>
    <mergeCell ref="A2:D2"/>
  </mergeCells>
  <conditionalFormatting sqref="A2:D2">
    <cfRule type="expression" dxfId="0" priority="1">
      <formula>OR(A4:A25)</formula>
    </cfRule>
  </conditionalFormatting>
  <conditionalFormatting sqref="C4:C25">
    <cfRule type="expression" dxfId="1" priority="2">
      <formula>NOT(A4)</formula>
    </cfRule>
  </conditionalFormatting>
  <dataValidations>
    <dataValidation type="list" allowBlank="1" sqref="A2">
      <formula1>'Scratch Pad'!$F$2:$F$99</formula1>
    </dataValidation>
    <dataValidation type="list" allowBlank="1" showErrorMessage="1" sqref="C4:C23">
      <formula1>"1,2,3,4,5,6,7,8,9"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5.71"/>
    <col customWidth="1" min="3" max="3" width="7.14"/>
    <col customWidth="1" min="4" max="4" width="23.71"/>
    <col customWidth="1" min="5" max="5" width="8.14"/>
    <col customWidth="1" min="6" max="7" width="5.86"/>
    <col customWidth="1" min="8" max="9" width="6.71"/>
    <col customWidth="1" min="10" max="11" width="9.14"/>
    <col customWidth="1" min="12" max="12" width="5.71"/>
    <col customWidth="1" min="13" max="13" width="8.57"/>
    <col customWidth="1" min="14" max="15" width="7.86"/>
    <col customWidth="1" hidden="1" min="16" max="16" width="7.86"/>
    <col hidden="1" min="17" max="21" width="14.43"/>
    <col customWidth="1" hidden="1" min="22" max="22" width="16.0"/>
    <col hidden="1" min="23" max="39" width="14.43"/>
    <col customWidth="1" hidden="1" min="40" max="45" width="16.86"/>
  </cols>
  <sheetData>
    <row r="1">
      <c r="J1" s="10" t="s">
        <v>23</v>
      </c>
      <c r="P1" s="10"/>
      <c r="AD1" s="11"/>
      <c r="AE1" s="11"/>
      <c r="AI1" s="11"/>
      <c r="AM1" s="11"/>
    </row>
    <row r="2">
      <c r="H2" s="11"/>
      <c r="I2" s="11"/>
      <c r="J2" s="12" t="s">
        <v>24</v>
      </c>
      <c r="P2" s="12"/>
      <c r="AD2" s="11"/>
      <c r="AE2" s="11"/>
      <c r="AI2" s="11"/>
      <c r="AM2" s="11"/>
    </row>
    <row r="3">
      <c r="A3" s="13" t="s">
        <v>25</v>
      </c>
      <c r="B3" s="14"/>
      <c r="C3" s="15"/>
      <c r="D3" s="16"/>
      <c r="E3" s="14"/>
      <c r="F3" s="14"/>
      <c r="G3" s="15"/>
      <c r="H3" s="17"/>
      <c r="I3" s="11"/>
      <c r="J3" s="18"/>
      <c r="P3" s="19"/>
      <c r="AD3" s="11"/>
      <c r="AE3" s="11"/>
      <c r="AI3" s="11"/>
      <c r="AM3" s="11"/>
    </row>
    <row r="4">
      <c r="J4" s="18"/>
      <c r="P4" s="19"/>
      <c r="AD4" s="11"/>
      <c r="AE4" s="11"/>
      <c r="AI4" s="11"/>
      <c r="AM4" s="11"/>
    </row>
    <row r="5">
      <c r="A5" s="20" t="s">
        <v>26</v>
      </c>
      <c r="B5" s="20" t="s">
        <v>27</v>
      </c>
      <c r="C5" s="20" t="s">
        <v>28</v>
      </c>
      <c r="D5" s="20" t="s">
        <v>29</v>
      </c>
      <c r="E5" s="20" t="s">
        <v>30</v>
      </c>
      <c r="F5" s="21" t="s">
        <v>31</v>
      </c>
      <c r="G5" s="15"/>
      <c r="H5" s="21" t="s">
        <v>32</v>
      </c>
      <c r="I5" s="15"/>
      <c r="J5" s="22" t="s">
        <v>33</v>
      </c>
      <c r="K5" s="22" t="s">
        <v>34</v>
      </c>
      <c r="L5" s="20" t="s">
        <v>35</v>
      </c>
      <c r="M5" s="20" t="s">
        <v>36</v>
      </c>
      <c r="N5" s="20" t="s">
        <v>37</v>
      </c>
      <c r="O5" s="20" t="s">
        <v>38</v>
      </c>
      <c r="P5" s="20"/>
      <c r="Q5" s="20"/>
      <c r="R5" s="20"/>
      <c r="S5" s="20" t="s">
        <v>39</v>
      </c>
      <c r="T5" s="20" t="s">
        <v>40</v>
      </c>
      <c r="U5" s="20" t="s">
        <v>41</v>
      </c>
      <c r="V5" s="20" t="s">
        <v>42</v>
      </c>
      <c r="W5" s="20" t="s">
        <v>43</v>
      </c>
      <c r="X5" s="20" t="s">
        <v>44</v>
      </c>
      <c r="Y5" s="20" t="s">
        <v>45</v>
      </c>
      <c r="Z5" s="20" t="s">
        <v>46</v>
      </c>
      <c r="AA5" s="20" t="s">
        <v>47</v>
      </c>
      <c r="AB5" s="20" t="s">
        <v>48</v>
      </c>
      <c r="AC5" s="20" t="s">
        <v>49</v>
      </c>
      <c r="AD5" s="20" t="s">
        <v>50</v>
      </c>
      <c r="AE5" s="20" t="s">
        <v>51</v>
      </c>
      <c r="AF5" s="20" t="s">
        <v>52</v>
      </c>
      <c r="AG5" s="23" t="s">
        <v>53</v>
      </c>
      <c r="AH5" s="23" t="s">
        <v>53</v>
      </c>
      <c r="AI5" s="24" t="s">
        <v>54</v>
      </c>
      <c r="AJ5" s="25" t="s">
        <v>55</v>
      </c>
      <c r="AK5" s="25" t="s">
        <v>55</v>
      </c>
      <c r="AL5" s="25" t="s">
        <v>55</v>
      </c>
      <c r="AM5" s="26" t="s">
        <v>56</v>
      </c>
      <c r="AN5" s="23" t="s">
        <v>57</v>
      </c>
      <c r="AO5" s="23" t="s">
        <v>57</v>
      </c>
      <c r="AP5" s="23" t="s">
        <v>58</v>
      </c>
      <c r="AQ5" s="23" t="s">
        <v>59</v>
      </c>
      <c r="AR5" s="23" t="s">
        <v>59</v>
      </c>
      <c r="AS5" s="23" t="s">
        <v>60</v>
      </c>
    </row>
    <row r="6">
      <c r="A6" s="27"/>
      <c r="B6" s="28"/>
      <c r="C6" s="28"/>
      <c r="D6" s="29"/>
      <c r="E6" s="29"/>
      <c r="F6" s="30"/>
      <c r="G6" s="30"/>
      <c r="H6" s="30"/>
      <c r="I6" s="30"/>
      <c r="J6" s="31"/>
      <c r="K6" s="31"/>
      <c r="L6" s="28"/>
      <c r="M6" s="28"/>
      <c r="N6" s="32">
        <f t="shared" ref="N6:O6" si="1">V6</f>
        <v>0</v>
      </c>
      <c r="O6" s="33">
        <f t="shared" si="1"/>
        <v>0</v>
      </c>
      <c r="P6" s="32">
        <f t="shared" ref="P6:P40" si="4">sum(N6:O6)</f>
        <v>0</v>
      </c>
      <c r="Q6" s="32"/>
      <c r="R6" s="32"/>
      <c r="S6" s="32">
        <f>sum(Formulas!AI3*'Daily Time  Readings Log'!B6)</f>
        <v>0</v>
      </c>
      <c r="T6" s="33">
        <f>sum(Formulas!AJ3*'Daily Time  Readings Log'!B6)</f>
        <v>0</v>
      </c>
      <c r="U6" s="32">
        <f t="shared" ref="U6:U40" si="5">sum(N6+O6)</f>
        <v>0</v>
      </c>
      <c r="V6" s="32">
        <f t="shared" ref="V6:W6" si="2">sum(S6+Y6)</f>
        <v>0</v>
      </c>
      <c r="W6" s="32">
        <f t="shared" si="2"/>
        <v>0</v>
      </c>
      <c r="X6" s="32">
        <f t="shared" ref="X6:X40" si="7">sum(V6+W6)</f>
        <v>0</v>
      </c>
      <c r="Y6" s="32">
        <f>sum(Formulas!AI3*'Daily Time  Readings Log'!C6)</f>
        <v>0</v>
      </c>
      <c r="Z6" s="33">
        <f>sum(Formulas!AJ3*'Daily Time  Readings Log'!C6)</f>
        <v>0</v>
      </c>
      <c r="AA6" s="32">
        <f t="shared" ref="AA6:AA40" si="8">if((E6="None"),0,0)</f>
        <v>0</v>
      </c>
      <c r="AB6" s="32">
        <f t="shared" ref="AB6:AB40" si="9">if((AND(N6&gt;1,E6="T")),1,0)</f>
        <v>0</v>
      </c>
      <c r="AC6" s="32">
        <f t="shared" ref="AC6:AC40" si="10">if((AND(N6&gt;1,E6="M.P.")),1,0)</f>
        <v>0</v>
      </c>
      <c r="AD6" s="32">
        <f>if((AND(E6="BIO",AF6 &gt;= S6)),0,S6-AF6)</f>
        <v>0</v>
      </c>
      <c r="AE6" s="32">
        <f>if((AND(E6="L.A.",AF6&gt;=S6)),0,S6-AF6)</f>
        <v>0</v>
      </c>
      <c r="AF6" s="32">
        <f t="shared" ref="AF6:AF40" si="11">(L6/60)</f>
        <v>0</v>
      </c>
      <c r="AG6">
        <f>if((E6="T"),Formulas!AG3,0)</f>
        <v>0</v>
      </c>
      <c r="AH6">
        <f t="shared" ref="AH6:AH40" si="12">if((AG6&lt;1),AG6,1)</f>
        <v>0</v>
      </c>
      <c r="AI6" s="11">
        <f t="shared" ref="AI6:AI40" si="13">if((B6=0),0,AH6)</f>
        <v>0</v>
      </c>
      <c r="AJ6">
        <f>if((E6="M.P."),Formulas!AG3,0)</f>
        <v>0</v>
      </c>
      <c r="AK6">
        <f t="shared" ref="AK6:AK40" si="14">if((AJ6&lt;1),AJ6,1)</f>
        <v>0</v>
      </c>
      <c r="AL6" s="11">
        <f t="shared" ref="AL6:AL40" si="15">if((B6=0),0,AK6)</f>
        <v>0</v>
      </c>
      <c r="AM6" s="11">
        <f t="shared" ref="AM6:AM40" si="16">sum(AL6*B6)</f>
        <v>0</v>
      </c>
      <c r="AN6">
        <f>if((E6="BIO"),S6,0)</f>
        <v>0</v>
      </c>
      <c r="AO6">
        <f t="shared" ref="AO6:AO40" si="17">sum(AN6*1)</f>
        <v>0</v>
      </c>
      <c r="AP6">
        <f>if((AO6&gt;0),(AO6-Formulas!AM3),0)</f>
        <v>0</v>
      </c>
      <c r="AQ6">
        <f>if((E6="L.A."),S6,0)</f>
        <v>0</v>
      </c>
      <c r="AR6">
        <f t="shared" ref="AR6:AR40" si="18">sum(AQ6*1)</f>
        <v>0</v>
      </c>
      <c r="AS6">
        <f>if((AR6&gt;0),(AR6-Formulas!AM3),0)</f>
        <v>0</v>
      </c>
    </row>
    <row r="7">
      <c r="A7" s="34"/>
      <c r="B7" s="35"/>
      <c r="C7" s="35"/>
      <c r="D7" s="36"/>
      <c r="E7" s="37"/>
      <c r="F7" s="38"/>
      <c r="G7" s="38"/>
      <c r="H7" s="38"/>
      <c r="I7" s="38"/>
      <c r="J7" s="39"/>
      <c r="K7" s="39"/>
      <c r="L7" s="35"/>
      <c r="M7" s="35"/>
      <c r="N7" s="40">
        <f t="shared" ref="N7:O7" si="3">V7</f>
        <v>0</v>
      </c>
      <c r="O7" s="41">
        <f t="shared" si="3"/>
        <v>0</v>
      </c>
      <c r="P7" s="32">
        <f t="shared" si="4"/>
        <v>0</v>
      </c>
      <c r="Q7" s="40"/>
      <c r="R7" s="40"/>
      <c r="S7" s="40">
        <f>sum(Formulas!AI4*'Daily Time  Readings Log'!B7)</f>
        <v>0</v>
      </c>
      <c r="T7" s="41">
        <f>sum(Formulas!AJ4*'Daily Time  Readings Log'!B7)</f>
        <v>0</v>
      </c>
      <c r="U7" s="40">
        <f t="shared" si="5"/>
        <v>0</v>
      </c>
      <c r="V7" s="40">
        <f t="shared" ref="V7:W7" si="6">sum(S7+Y7)</f>
        <v>0</v>
      </c>
      <c r="W7" s="40">
        <f t="shared" si="6"/>
        <v>0</v>
      </c>
      <c r="X7" s="40">
        <f t="shared" si="7"/>
        <v>0</v>
      </c>
      <c r="Y7" s="40">
        <f>sum(Formulas!AI4*'Daily Time  Readings Log'!C7)</f>
        <v>0</v>
      </c>
      <c r="Z7" s="41">
        <f>sum(Formulas!AJ4*'Daily Time  Readings Log'!C7)</f>
        <v>0</v>
      </c>
      <c r="AA7" s="40">
        <f t="shared" si="8"/>
        <v>0</v>
      </c>
      <c r="AB7" s="40">
        <f t="shared" si="9"/>
        <v>0</v>
      </c>
      <c r="AC7" s="40">
        <f t="shared" si="10"/>
        <v>0</v>
      </c>
      <c r="AD7" s="40">
        <f t="shared" ref="AD7:AD40" si="21">if((E7="BIO"),S7-AF7,0)</f>
        <v>0</v>
      </c>
      <c r="AE7" s="40">
        <f t="shared" ref="AE7:AE40" si="22">if((E7="L.A."),S7-AF7,0)</f>
        <v>0</v>
      </c>
      <c r="AF7" s="40">
        <f t="shared" si="11"/>
        <v>0</v>
      </c>
      <c r="AG7">
        <f>if((E7="T"),Formulas!AG4,0)</f>
        <v>0</v>
      </c>
      <c r="AH7">
        <f t="shared" si="12"/>
        <v>0</v>
      </c>
      <c r="AI7" s="11">
        <f t="shared" si="13"/>
        <v>0</v>
      </c>
      <c r="AJ7">
        <f>if((E7="M.P."),Formulas!AG4,0)</f>
        <v>0</v>
      </c>
      <c r="AK7">
        <f t="shared" si="14"/>
        <v>0</v>
      </c>
      <c r="AL7" s="11">
        <f t="shared" si="15"/>
        <v>0</v>
      </c>
      <c r="AM7" s="11">
        <f t="shared" si="16"/>
        <v>0</v>
      </c>
      <c r="AN7">
        <f t="shared" ref="AN7:AN40" si="23">if((E7="BIO"),N7,0)</f>
        <v>0</v>
      </c>
      <c r="AO7">
        <f t="shared" si="17"/>
        <v>0</v>
      </c>
      <c r="AP7">
        <f>if((AO7&gt;0),(AO7-Formulas!AM4),0)</f>
        <v>0</v>
      </c>
      <c r="AQ7">
        <f t="shared" ref="AQ7:AQ40" si="24">if((E7="L.A."),N7,0)</f>
        <v>0</v>
      </c>
      <c r="AR7">
        <f t="shared" si="18"/>
        <v>0</v>
      </c>
      <c r="AS7">
        <f>if((AR7&gt;0),(AR7-Formulas!AM4),0)</f>
        <v>0</v>
      </c>
    </row>
    <row r="8">
      <c r="A8" s="27"/>
      <c r="B8" s="28"/>
      <c r="C8" s="28"/>
      <c r="D8" s="42"/>
      <c r="E8" s="29"/>
      <c r="F8" s="43"/>
      <c r="G8" s="43"/>
      <c r="H8" s="43"/>
      <c r="I8" s="43"/>
      <c r="J8" s="31"/>
      <c r="K8" s="44"/>
      <c r="L8" s="28"/>
      <c r="M8" s="28"/>
      <c r="N8" s="32">
        <f t="shared" ref="N8:O8" si="19">V8</f>
        <v>0</v>
      </c>
      <c r="O8" s="33">
        <f t="shared" si="19"/>
        <v>0</v>
      </c>
      <c r="P8" s="32">
        <f t="shared" si="4"/>
        <v>0</v>
      </c>
      <c r="Q8" s="32"/>
      <c r="R8" s="32"/>
      <c r="S8" s="32">
        <f>sum(Formulas!AI5*'Daily Time  Readings Log'!B8)</f>
        <v>0</v>
      </c>
      <c r="T8" s="33">
        <f>sum(Formulas!AJ5*'Daily Time  Readings Log'!B8)</f>
        <v>0</v>
      </c>
      <c r="U8" s="32">
        <f t="shared" si="5"/>
        <v>0</v>
      </c>
      <c r="V8" s="32">
        <f t="shared" ref="V8:W8" si="20">sum(S8+Y8)</f>
        <v>0</v>
      </c>
      <c r="W8" s="32">
        <f t="shared" si="20"/>
        <v>0</v>
      </c>
      <c r="X8" s="32">
        <f t="shared" si="7"/>
        <v>0</v>
      </c>
      <c r="Y8" s="32">
        <f>sum(Formulas!AI5*'Daily Time  Readings Log'!C8)</f>
        <v>0</v>
      </c>
      <c r="Z8" s="33">
        <f>sum(Formulas!AJ5*'Daily Time  Readings Log'!C8)</f>
        <v>0</v>
      </c>
      <c r="AA8" s="32">
        <f t="shared" si="8"/>
        <v>0</v>
      </c>
      <c r="AB8" s="32">
        <f t="shared" si="9"/>
        <v>0</v>
      </c>
      <c r="AC8" s="32">
        <f t="shared" si="10"/>
        <v>0</v>
      </c>
      <c r="AD8" s="32">
        <f t="shared" si="21"/>
        <v>0</v>
      </c>
      <c r="AE8" s="32">
        <f t="shared" si="22"/>
        <v>0</v>
      </c>
      <c r="AF8" s="32">
        <f t="shared" si="11"/>
        <v>0</v>
      </c>
      <c r="AG8">
        <f>if((E8="T"),Formulas!AG5,0)</f>
        <v>0</v>
      </c>
      <c r="AH8">
        <f t="shared" si="12"/>
        <v>0</v>
      </c>
      <c r="AI8" s="11">
        <f t="shared" si="13"/>
        <v>0</v>
      </c>
      <c r="AJ8">
        <f>if((E8="M.P."),Formulas!AG5,0)</f>
        <v>0</v>
      </c>
      <c r="AK8">
        <f t="shared" si="14"/>
        <v>0</v>
      </c>
      <c r="AL8" s="11">
        <f t="shared" si="15"/>
        <v>0</v>
      </c>
      <c r="AM8" s="11">
        <f t="shared" si="16"/>
        <v>0</v>
      </c>
      <c r="AN8">
        <f t="shared" si="23"/>
        <v>0</v>
      </c>
      <c r="AO8">
        <f t="shared" si="17"/>
        <v>0</v>
      </c>
      <c r="AP8">
        <f>if((AO8&gt;0),(AO8-Formulas!AM5),0)</f>
        <v>0</v>
      </c>
      <c r="AQ8">
        <f t="shared" si="24"/>
        <v>0</v>
      </c>
      <c r="AR8">
        <f t="shared" si="18"/>
        <v>0</v>
      </c>
      <c r="AS8">
        <f>if((AR8&gt;0),(AR8-Formulas!AM5),0)</f>
        <v>0</v>
      </c>
    </row>
    <row r="9">
      <c r="A9" s="34"/>
      <c r="B9" s="35"/>
      <c r="C9" s="35"/>
      <c r="D9" s="36"/>
      <c r="E9" s="37"/>
      <c r="F9" s="38"/>
      <c r="G9" s="38"/>
      <c r="H9" s="38"/>
      <c r="I9" s="38"/>
      <c r="J9" s="38"/>
      <c r="K9" s="45"/>
      <c r="L9" s="35"/>
      <c r="M9" s="35"/>
      <c r="N9" s="40">
        <f t="shared" ref="N9:O9" si="25">V9</f>
        <v>0</v>
      </c>
      <c r="O9" s="41">
        <f t="shared" si="25"/>
        <v>0</v>
      </c>
      <c r="P9" s="32">
        <f t="shared" si="4"/>
        <v>0</v>
      </c>
      <c r="Q9" s="40"/>
      <c r="R9" s="40"/>
      <c r="S9" s="40">
        <f>sum(Formulas!AI6*'Daily Time  Readings Log'!B9)</f>
        <v>0</v>
      </c>
      <c r="T9" s="41">
        <f>sum(Formulas!AJ6*'Daily Time  Readings Log'!B9)</f>
        <v>0</v>
      </c>
      <c r="U9" s="40">
        <f t="shared" si="5"/>
        <v>0</v>
      </c>
      <c r="V9" s="40">
        <f t="shared" ref="V9:W9" si="26">sum(S9+Y9)</f>
        <v>0</v>
      </c>
      <c r="W9" s="40">
        <f t="shared" si="26"/>
        <v>0</v>
      </c>
      <c r="X9" s="40">
        <f t="shared" si="7"/>
        <v>0</v>
      </c>
      <c r="Y9" s="40">
        <f>sum(Formulas!AI6*'Daily Time  Readings Log'!C9)</f>
        <v>0</v>
      </c>
      <c r="Z9" s="41">
        <f>sum(Formulas!AJ6*'Daily Time  Readings Log'!C9)</f>
        <v>0</v>
      </c>
      <c r="AA9" s="40">
        <f t="shared" si="8"/>
        <v>0</v>
      </c>
      <c r="AB9" s="40">
        <f t="shared" si="9"/>
        <v>0</v>
      </c>
      <c r="AC9" s="40">
        <f t="shared" si="10"/>
        <v>0</v>
      </c>
      <c r="AD9" s="40">
        <f t="shared" si="21"/>
        <v>0</v>
      </c>
      <c r="AE9" s="40">
        <f t="shared" si="22"/>
        <v>0</v>
      </c>
      <c r="AF9" s="40">
        <f t="shared" si="11"/>
        <v>0</v>
      </c>
      <c r="AG9">
        <f>if((E9="T"),Formulas!AG6,0)</f>
        <v>0</v>
      </c>
      <c r="AH9">
        <f t="shared" si="12"/>
        <v>0</v>
      </c>
      <c r="AI9" s="11">
        <f t="shared" si="13"/>
        <v>0</v>
      </c>
      <c r="AJ9">
        <f>if((E9="M.P."),Formulas!AG6,0)</f>
        <v>0</v>
      </c>
      <c r="AK9">
        <f t="shared" si="14"/>
        <v>0</v>
      </c>
      <c r="AL9" s="11">
        <f t="shared" si="15"/>
        <v>0</v>
      </c>
      <c r="AM9" s="11">
        <f t="shared" si="16"/>
        <v>0</v>
      </c>
      <c r="AN9">
        <f t="shared" si="23"/>
        <v>0</v>
      </c>
      <c r="AO9">
        <f t="shared" si="17"/>
        <v>0</v>
      </c>
      <c r="AP9">
        <f>if((AO9&gt;0),(AO9-Formulas!AM6),0)</f>
        <v>0</v>
      </c>
      <c r="AQ9">
        <f t="shared" si="24"/>
        <v>0</v>
      </c>
      <c r="AR9">
        <f t="shared" si="18"/>
        <v>0</v>
      </c>
      <c r="AS9">
        <f>if((AR9&gt;0),(AR9-Formulas!AM6),0)</f>
        <v>0</v>
      </c>
    </row>
    <row r="10">
      <c r="A10" s="27"/>
      <c r="B10" s="28"/>
      <c r="C10" s="28"/>
      <c r="D10" s="42"/>
      <c r="E10" s="29"/>
      <c r="F10" s="43"/>
      <c r="G10" s="43"/>
      <c r="H10" s="43"/>
      <c r="I10" s="43"/>
      <c r="J10" s="31"/>
      <c r="K10" s="44"/>
      <c r="L10" s="28"/>
      <c r="M10" s="28"/>
      <c r="N10" s="32">
        <f t="shared" ref="N10:O10" si="27">V10</f>
        <v>0</v>
      </c>
      <c r="O10" s="33">
        <f t="shared" si="27"/>
        <v>0</v>
      </c>
      <c r="P10" s="32">
        <f t="shared" si="4"/>
        <v>0</v>
      </c>
      <c r="Q10" s="32"/>
      <c r="R10" s="32"/>
      <c r="S10" s="32">
        <f>sum(Formulas!AI7*'Daily Time  Readings Log'!B10)</f>
        <v>0</v>
      </c>
      <c r="T10" s="33">
        <f>sum(Formulas!AJ7*'Daily Time  Readings Log'!B10)</f>
        <v>0</v>
      </c>
      <c r="U10" s="32">
        <f t="shared" si="5"/>
        <v>0</v>
      </c>
      <c r="V10" s="32">
        <f t="shared" ref="V10:W10" si="28">sum(S10+Y10)</f>
        <v>0</v>
      </c>
      <c r="W10" s="32">
        <f t="shared" si="28"/>
        <v>0</v>
      </c>
      <c r="X10" s="32">
        <f t="shared" si="7"/>
        <v>0</v>
      </c>
      <c r="Y10" s="32">
        <f>sum(Formulas!AI7*'Daily Time  Readings Log'!C10)</f>
        <v>0</v>
      </c>
      <c r="Z10" s="33">
        <f>sum(Formulas!AJ7*'Daily Time  Readings Log'!C10)</f>
        <v>0</v>
      </c>
      <c r="AA10" s="32">
        <f t="shared" si="8"/>
        <v>0</v>
      </c>
      <c r="AB10" s="32">
        <f t="shared" si="9"/>
        <v>0</v>
      </c>
      <c r="AC10" s="32">
        <f t="shared" si="10"/>
        <v>0</v>
      </c>
      <c r="AD10" s="32">
        <f t="shared" si="21"/>
        <v>0</v>
      </c>
      <c r="AE10" s="32">
        <f t="shared" si="22"/>
        <v>0</v>
      </c>
      <c r="AF10" s="32">
        <f t="shared" si="11"/>
        <v>0</v>
      </c>
      <c r="AG10">
        <f>if((E10="T"),Formulas!AG7,0)</f>
        <v>0</v>
      </c>
      <c r="AH10">
        <f t="shared" si="12"/>
        <v>0</v>
      </c>
      <c r="AI10" s="11">
        <f t="shared" si="13"/>
        <v>0</v>
      </c>
      <c r="AJ10">
        <f>if((E10="M.P."),Formulas!AG7,0)</f>
        <v>0</v>
      </c>
      <c r="AK10">
        <f t="shared" si="14"/>
        <v>0</v>
      </c>
      <c r="AL10" s="11">
        <f t="shared" si="15"/>
        <v>0</v>
      </c>
      <c r="AM10" s="11">
        <f t="shared" si="16"/>
        <v>0</v>
      </c>
      <c r="AN10">
        <f t="shared" si="23"/>
        <v>0</v>
      </c>
      <c r="AO10">
        <f t="shared" si="17"/>
        <v>0</v>
      </c>
      <c r="AP10">
        <f>if((AO10&gt;0),(AO10-Formulas!AM7),0)</f>
        <v>0</v>
      </c>
      <c r="AQ10">
        <f t="shared" si="24"/>
        <v>0</v>
      </c>
      <c r="AR10">
        <f t="shared" si="18"/>
        <v>0</v>
      </c>
      <c r="AS10">
        <f>if((AR10&gt;0),(AR10-Formulas!AM7),0)</f>
        <v>0</v>
      </c>
    </row>
    <row r="11">
      <c r="A11" s="34"/>
      <c r="B11" s="35"/>
      <c r="C11" s="35"/>
      <c r="D11" s="46"/>
      <c r="E11" s="37"/>
      <c r="F11" s="47"/>
      <c r="G11" s="47"/>
      <c r="H11" s="47"/>
      <c r="I11" s="47"/>
      <c r="J11" s="38"/>
      <c r="K11" s="45"/>
      <c r="L11" s="35"/>
      <c r="M11" s="35"/>
      <c r="N11" s="40">
        <f t="shared" ref="N11:O11" si="29">V11</f>
        <v>0</v>
      </c>
      <c r="O11" s="41">
        <f t="shared" si="29"/>
        <v>0</v>
      </c>
      <c r="P11" s="32">
        <f t="shared" si="4"/>
        <v>0</v>
      </c>
      <c r="Q11" s="40"/>
      <c r="R11" s="40"/>
      <c r="S11" s="40">
        <f>sum(Formulas!AI8*'Daily Time  Readings Log'!B11)</f>
        <v>0</v>
      </c>
      <c r="T11" s="41">
        <f>sum(Formulas!AJ8*'Daily Time  Readings Log'!B11)</f>
        <v>0</v>
      </c>
      <c r="U11" s="40">
        <f t="shared" si="5"/>
        <v>0</v>
      </c>
      <c r="V11" s="40">
        <f t="shared" ref="V11:W11" si="30">sum(S11+Y11)</f>
        <v>0</v>
      </c>
      <c r="W11" s="40">
        <f t="shared" si="30"/>
        <v>0</v>
      </c>
      <c r="X11" s="40">
        <f t="shared" si="7"/>
        <v>0</v>
      </c>
      <c r="Y11" s="40">
        <f>sum(Formulas!AI8*'Daily Time  Readings Log'!C11)</f>
        <v>0</v>
      </c>
      <c r="Z11" s="41">
        <f>sum(Formulas!AJ8*'Daily Time  Readings Log'!C11)</f>
        <v>0</v>
      </c>
      <c r="AA11" s="40">
        <f t="shared" si="8"/>
        <v>0</v>
      </c>
      <c r="AB11" s="40">
        <f t="shared" si="9"/>
        <v>0</v>
      </c>
      <c r="AC11" s="40">
        <f t="shared" si="10"/>
        <v>0</v>
      </c>
      <c r="AD11" s="40">
        <f t="shared" si="21"/>
        <v>0</v>
      </c>
      <c r="AE11" s="40">
        <f t="shared" si="22"/>
        <v>0</v>
      </c>
      <c r="AF11" s="40">
        <f t="shared" si="11"/>
        <v>0</v>
      </c>
      <c r="AG11">
        <f>if((E11="T"),Formulas!AG8,0)</f>
        <v>0</v>
      </c>
      <c r="AH11">
        <f t="shared" si="12"/>
        <v>0</v>
      </c>
      <c r="AI11" s="11">
        <f t="shared" si="13"/>
        <v>0</v>
      </c>
      <c r="AJ11">
        <f>if((E11="M.P."),Formulas!AG8,0)</f>
        <v>0</v>
      </c>
      <c r="AK11">
        <f t="shared" si="14"/>
        <v>0</v>
      </c>
      <c r="AL11" s="11">
        <f t="shared" si="15"/>
        <v>0</v>
      </c>
      <c r="AM11" s="11">
        <f t="shared" si="16"/>
        <v>0</v>
      </c>
      <c r="AN11">
        <f t="shared" si="23"/>
        <v>0</v>
      </c>
      <c r="AO11">
        <f t="shared" si="17"/>
        <v>0</v>
      </c>
      <c r="AP11">
        <f>if((AO11&gt;0),(AO11-Formulas!AM8),0)</f>
        <v>0</v>
      </c>
      <c r="AQ11">
        <f t="shared" si="24"/>
        <v>0</v>
      </c>
      <c r="AR11">
        <f t="shared" si="18"/>
        <v>0</v>
      </c>
      <c r="AS11">
        <f>if((AR11&gt;0),(AR11-Formulas!AM8),0)</f>
        <v>0</v>
      </c>
    </row>
    <row r="12">
      <c r="A12" s="27"/>
      <c r="B12" s="28"/>
      <c r="C12" s="28"/>
      <c r="D12" s="48"/>
      <c r="E12" s="29"/>
      <c r="F12" s="49"/>
      <c r="G12" s="49"/>
      <c r="H12" s="49"/>
      <c r="I12" s="49"/>
      <c r="J12" s="31"/>
      <c r="K12" s="44"/>
      <c r="L12" s="28"/>
      <c r="M12" s="28"/>
      <c r="N12" s="32">
        <f t="shared" ref="N12:O12" si="31">V12</f>
        <v>0</v>
      </c>
      <c r="O12" s="33">
        <f t="shared" si="31"/>
        <v>0</v>
      </c>
      <c r="P12" s="32">
        <f t="shared" si="4"/>
        <v>0</v>
      </c>
      <c r="Q12" s="32"/>
      <c r="R12" s="32"/>
      <c r="S12" s="32">
        <f>sum(Formulas!AI9*'Daily Time  Readings Log'!B12)</f>
        <v>0</v>
      </c>
      <c r="T12" s="33">
        <f>sum(Formulas!AJ9*'Daily Time  Readings Log'!B12)</f>
        <v>0</v>
      </c>
      <c r="U12" s="32">
        <f t="shared" si="5"/>
        <v>0</v>
      </c>
      <c r="V12" s="32">
        <f t="shared" ref="V12:W12" si="32">sum(S12+Y12)</f>
        <v>0</v>
      </c>
      <c r="W12" s="32">
        <f t="shared" si="32"/>
        <v>0</v>
      </c>
      <c r="X12" s="32">
        <f t="shared" si="7"/>
        <v>0</v>
      </c>
      <c r="Y12" s="32">
        <f>sum(Formulas!AI9*'Daily Time  Readings Log'!C12)</f>
        <v>0</v>
      </c>
      <c r="Z12" s="33">
        <f>sum(Formulas!AJ9*'Daily Time  Readings Log'!C12)</f>
        <v>0</v>
      </c>
      <c r="AA12" s="32">
        <f t="shared" si="8"/>
        <v>0</v>
      </c>
      <c r="AB12" s="32">
        <f t="shared" si="9"/>
        <v>0</v>
      </c>
      <c r="AC12" s="32">
        <f t="shared" si="10"/>
        <v>0</v>
      </c>
      <c r="AD12" s="32">
        <f t="shared" si="21"/>
        <v>0</v>
      </c>
      <c r="AE12" s="32">
        <f t="shared" si="22"/>
        <v>0</v>
      </c>
      <c r="AF12" s="32">
        <f t="shared" si="11"/>
        <v>0</v>
      </c>
      <c r="AG12">
        <f>if((E12="T"),Formulas!AG9,0)</f>
        <v>0</v>
      </c>
      <c r="AH12">
        <f t="shared" si="12"/>
        <v>0</v>
      </c>
      <c r="AI12" s="11">
        <f t="shared" si="13"/>
        <v>0</v>
      </c>
      <c r="AJ12">
        <f>if((E12="M.P."),Formulas!AG9,0)</f>
        <v>0</v>
      </c>
      <c r="AK12">
        <f t="shared" si="14"/>
        <v>0</v>
      </c>
      <c r="AL12" s="11">
        <f t="shared" si="15"/>
        <v>0</v>
      </c>
      <c r="AM12" s="11">
        <f t="shared" si="16"/>
        <v>0</v>
      </c>
      <c r="AN12">
        <f t="shared" si="23"/>
        <v>0</v>
      </c>
      <c r="AO12">
        <f t="shared" si="17"/>
        <v>0</v>
      </c>
      <c r="AP12">
        <f>if((AO12&gt;0),(AO12-Formulas!AM9),0)</f>
        <v>0</v>
      </c>
      <c r="AQ12">
        <f t="shared" si="24"/>
        <v>0</v>
      </c>
      <c r="AR12">
        <f t="shared" si="18"/>
        <v>0</v>
      </c>
      <c r="AS12">
        <f>if((AR12&gt;0),(AR12-Formulas!AM9),0)</f>
        <v>0</v>
      </c>
    </row>
    <row r="13">
      <c r="A13" s="34"/>
      <c r="B13" s="35"/>
      <c r="C13" s="35"/>
      <c r="D13" s="46"/>
      <c r="E13" s="37"/>
      <c r="F13" s="47"/>
      <c r="G13" s="47"/>
      <c r="H13" s="47"/>
      <c r="I13" s="47"/>
      <c r="J13" s="38"/>
      <c r="K13" s="45"/>
      <c r="L13" s="35"/>
      <c r="M13" s="35"/>
      <c r="N13" s="40">
        <f t="shared" ref="N13:O13" si="33">V13</f>
        <v>0</v>
      </c>
      <c r="O13" s="41">
        <f t="shared" si="33"/>
        <v>0</v>
      </c>
      <c r="P13" s="32">
        <f t="shared" si="4"/>
        <v>0</v>
      </c>
      <c r="Q13" s="40"/>
      <c r="R13" s="40"/>
      <c r="S13" s="40">
        <f>sum(Formulas!AI10*'Daily Time  Readings Log'!B13)</f>
        <v>0</v>
      </c>
      <c r="T13" s="41">
        <f>sum(Formulas!AJ10*'Daily Time  Readings Log'!B13)</f>
        <v>0</v>
      </c>
      <c r="U13" s="40">
        <f t="shared" si="5"/>
        <v>0</v>
      </c>
      <c r="V13" s="40">
        <f t="shared" ref="V13:W13" si="34">sum(S13+Y13)</f>
        <v>0</v>
      </c>
      <c r="W13" s="40">
        <f t="shared" si="34"/>
        <v>0</v>
      </c>
      <c r="X13" s="40">
        <f t="shared" si="7"/>
        <v>0</v>
      </c>
      <c r="Y13" s="40">
        <f>sum(Formulas!AI10*'Daily Time  Readings Log'!C13)</f>
        <v>0</v>
      </c>
      <c r="Z13" s="41">
        <f>sum(Formulas!AJ10*'Daily Time  Readings Log'!C13)</f>
        <v>0</v>
      </c>
      <c r="AA13" s="40">
        <f t="shared" si="8"/>
        <v>0</v>
      </c>
      <c r="AB13" s="40">
        <f t="shared" si="9"/>
        <v>0</v>
      </c>
      <c r="AC13" s="40">
        <f t="shared" si="10"/>
        <v>0</v>
      </c>
      <c r="AD13" s="40">
        <f t="shared" si="21"/>
        <v>0</v>
      </c>
      <c r="AE13" s="40">
        <f t="shared" si="22"/>
        <v>0</v>
      </c>
      <c r="AF13" s="40">
        <f t="shared" si="11"/>
        <v>0</v>
      </c>
      <c r="AG13">
        <f>if((E13="T"),Formulas!AG10,0)</f>
        <v>0</v>
      </c>
      <c r="AH13">
        <f t="shared" si="12"/>
        <v>0</v>
      </c>
      <c r="AI13" s="11">
        <f t="shared" si="13"/>
        <v>0</v>
      </c>
      <c r="AJ13">
        <f>if((E13="M.P."),Formulas!AG10,0)</f>
        <v>0</v>
      </c>
      <c r="AK13">
        <f t="shared" si="14"/>
        <v>0</v>
      </c>
      <c r="AL13" s="11">
        <f t="shared" si="15"/>
        <v>0</v>
      </c>
      <c r="AM13" s="11">
        <f t="shared" si="16"/>
        <v>0</v>
      </c>
      <c r="AN13">
        <f t="shared" si="23"/>
        <v>0</v>
      </c>
      <c r="AO13">
        <f t="shared" si="17"/>
        <v>0</v>
      </c>
      <c r="AP13">
        <f>if((AO13&gt;0),(AO13-Formulas!AM10),0)</f>
        <v>0</v>
      </c>
      <c r="AQ13">
        <f t="shared" si="24"/>
        <v>0</v>
      </c>
      <c r="AR13">
        <f t="shared" si="18"/>
        <v>0</v>
      </c>
      <c r="AS13">
        <f>if((AR13&gt;0),(AR13-Formulas!AM10),0)</f>
        <v>0</v>
      </c>
    </row>
    <row r="14">
      <c r="A14" s="27"/>
      <c r="B14" s="28"/>
      <c r="C14" s="28"/>
      <c r="D14" s="48"/>
      <c r="E14" s="29"/>
      <c r="F14" s="49"/>
      <c r="G14" s="49"/>
      <c r="H14" s="49"/>
      <c r="I14" s="49"/>
      <c r="J14" s="31"/>
      <c r="K14" s="44"/>
      <c r="L14" s="50"/>
      <c r="M14" s="50"/>
      <c r="N14" s="32">
        <f t="shared" ref="N14:O14" si="35">V14</f>
        <v>0</v>
      </c>
      <c r="O14" s="33">
        <f t="shared" si="35"/>
        <v>0</v>
      </c>
      <c r="P14" s="32">
        <f t="shared" si="4"/>
        <v>0</v>
      </c>
      <c r="Q14" s="32"/>
      <c r="R14" s="32"/>
      <c r="S14" s="32">
        <f>sum(Formulas!AI11*'Daily Time  Readings Log'!B14)</f>
        <v>0</v>
      </c>
      <c r="T14" s="33">
        <f>sum(Formulas!AJ11*'Daily Time  Readings Log'!B14)</f>
        <v>0</v>
      </c>
      <c r="U14" s="32">
        <f t="shared" si="5"/>
        <v>0</v>
      </c>
      <c r="V14" s="32">
        <f t="shared" ref="V14:W14" si="36">sum(S14+Y14)</f>
        <v>0</v>
      </c>
      <c r="W14" s="32">
        <f t="shared" si="36"/>
        <v>0</v>
      </c>
      <c r="X14" s="32">
        <f t="shared" si="7"/>
        <v>0</v>
      </c>
      <c r="Y14" s="32">
        <f>sum(Formulas!AI11*'Daily Time  Readings Log'!C14)</f>
        <v>0</v>
      </c>
      <c r="Z14" s="33">
        <f>sum(Formulas!AJ11*'Daily Time  Readings Log'!C14)</f>
        <v>0</v>
      </c>
      <c r="AA14" s="32">
        <f t="shared" si="8"/>
        <v>0</v>
      </c>
      <c r="AB14" s="32">
        <f t="shared" si="9"/>
        <v>0</v>
      </c>
      <c r="AC14" s="32">
        <f t="shared" si="10"/>
        <v>0</v>
      </c>
      <c r="AD14" s="32">
        <f t="shared" si="21"/>
        <v>0</v>
      </c>
      <c r="AE14" s="32">
        <f t="shared" si="22"/>
        <v>0</v>
      </c>
      <c r="AF14" s="32">
        <f t="shared" si="11"/>
        <v>0</v>
      </c>
      <c r="AG14">
        <f>if((E14="T"),Formulas!AG11,0)</f>
        <v>0</v>
      </c>
      <c r="AH14">
        <f t="shared" si="12"/>
        <v>0</v>
      </c>
      <c r="AI14" s="11">
        <f t="shared" si="13"/>
        <v>0</v>
      </c>
      <c r="AJ14">
        <f>if((E14="M.P."),Formulas!AG11,0)</f>
        <v>0</v>
      </c>
      <c r="AK14">
        <f t="shared" si="14"/>
        <v>0</v>
      </c>
      <c r="AL14" s="11">
        <f t="shared" si="15"/>
        <v>0</v>
      </c>
      <c r="AM14" s="11">
        <f t="shared" si="16"/>
        <v>0</v>
      </c>
      <c r="AN14">
        <f t="shared" si="23"/>
        <v>0</v>
      </c>
      <c r="AO14">
        <f t="shared" si="17"/>
        <v>0</v>
      </c>
      <c r="AP14">
        <f>if((AO14&gt;0),(AO14-Formulas!AM11),0)</f>
        <v>0</v>
      </c>
      <c r="AQ14">
        <f t="shared" si="24"/>
        <v>0</v>
      </c>
      <c r="AR14">
        <f t="shared" si="18"/>
        <v>0</v>
      </c>
      <c r="AS14">
        <f>if((AR14&gt;0),(AR14-Formulas!AM11),0)</f>
        <v>0</v>
      </c>
    </row>
    <row r="15">
      <c r="A15" s="34"/>
      <c r="B15" s="35"/>
      <c r="C15" s="35"/>
      <c r="D15" s="46"/>
      <c r="E15" s="37"/>
      <c r="F15" s="47"/>
      <c r="G15" s="47"/>
      <c r="H15" s="47"/>
      <c r="I15" s="47"/>
      <c r="J15" s="38"/>
      <c r="K15" s="45"/>
      <c r="L15" s="51"/>
      <c r="M15" s="51"/>
      <c r="N15" s="40">
        <f t="shared" ref="N15:O15" si="37">V15</f>
        <v>0</v>
      </c>
      <c r="O15" s="41">
        <f t="shared" si="37"/>
        <v>0</v>
      </c>
      <c r="P15" s="32">
        <f t="shared" si="4"/>
        <v>0</v>
      </c>
      <c r="Q15" s="40"/>
      <c r="R15" s="40"/>
      <c r="S15" s="40">
        <f>sum(Formulas!AI12*'Daily Time  Readings Log'!B15)</f>
        <v>0</v>
      </c>
      <c r="T15" s="41">
        <f>sum(Formulas!AJ12*'Daily Time  Readings Log'!B15)</f>
        <v>0</v>
      </c>
      <c r="U15" s="40">
        <f t="shared" si="5"/>
        <v>0</v>
      </c>
      <c r="V15" s="40">
        <f t="shared" ref="V15:W15" si="38">sum(S15+Y15)</f>
        <v>0</v>
      </c>
      <c r="W15" s="40">
        <f t="shared" si="38"/>
        <v>0</v>
      </c>
      <c r="X15" s="40">
        <f t="shared" si="7"/>
        <v>0</v>
      </c>
      <c r="Y15" s="40">
        <f>sum(Formulas!AI12*'Daily Time  Readings Log'!C15)</f>
        <v>0</v>
      </c>
      <c r="Z15" s="41">
        <f>sum(Formulas!AJ12*'Daily Time  Readings Log'!C15)</f>
        <v>0</v>
      </c>
      <c r="AA15" s="40">
        <f t="shared" si="8"/>
        <v>0</v>
      </c>
      <c r="AB15" s="40">
        <f t="shared" si="9"/>
        <v>0</v>
      </c>
      <c r="AC15" s="40">
        <f t="shared" si="10"/>
        <v>0</v>
      </c>
      <c r="AD15" s="40">
        <f t="shared" si="21"/>
        <v>0</v>
      </c>
      <c r="AE15" s="40">
        <f t="shared" si="22"/>
        <v>0</v>
      </c>
      <c r="AF15" s="40">
        <f t="shared" si="11"/>
        <v>0</v>
      </c>
      <c r="AG15">
        <f>if((E15="T"),Formulas!AG12,0)</f>
        <v>0</v>
      </c>
      <c r="AH15">
        <f t="shared" si="12"/>
        <v>0</v>
      </c>
      <c r="AI15" s="11">
        <f t="shared" si="13"/>
        <v>0</v>
      </c>
      <c r="AJ15">
        <f>if((E15="M.P."),Formulas!AG12,0)</f>
        <v>0</v>
      </c>
      <c r="AK15">
        <f t="shared" si="14"/>
        <v>0</v>
      </c>
      <c r="AL15" s="11">
        <f t="shared" si="15"/>
        <v>0</v>
      </c>
      <c r="AM15" s="11">
        <f t="shared" si="16"/>
        <v>0</v>
      </c>
      <c r="AN15">
        <f t="shared" si="23"/>
        <v>0</v>
      </c>
      <c r="AO15">
        <f t="shared" si="17"/>
        <v>0</v>
      </c>
      <c r="AP15">
        <f>if((AO15&gt;0),(AO15-Formulas!AM12),0)</f>
        <v>0</v>
      </c>
      <c r="AQ15">
        <f t="shared" si="24"/>
        <v>0</v>
      </c>
      <c r="AR15">
        <f t="shared" si="18"/>
        <v>0</v>
      </c>
      <c r="AS15">
        <f>if((AR15&gt;0),(AR15-Formulas!AM12),0)</f>
        <v>0</v>
      </c>
    </row>
    <row r="16">
      <c r="A16" s="27"/>
      <c r="B16" s="28"/>
      <c r="C16" s="28"/>
      <c r="D16" s="48"/>
      <c r="E16" s="29"/>
      <c r="F16" s="49"/>
      <c r="G16" s="49"/>
      <c r="H16" s="49"/>
      <c r="I16" s="49"/>
      <c r="J16" s="31"/>
      <c r="K16" s="44"/>
      <c r="L16" s="50"/>
      <c r="M16" s="50"/>
      <c r="N16" s="32">
        <f t="shared" ref="N16:O16" si="39">V16</f>
        <v>0</v>
      </c>
      <c r="O16" s="33">
        <f t="shared" si="39"/>
        <v>0</v>
      </c>
      <c r="P16" s="32">
        <f t="shared" si="4"/>
        <v>0</v>
      </c>
      <c r="Q16" s="32"/>
      <c r="R16" s="32"/>
      <c r="S16" s="32">
        <f>sum(Formulas!AI13*'Daily Time  Readings Log'!B16)</f>
        <v>0</v>
      </c>
      <c r="T16" s="33">
        <f>sum(Formulas!AJ13*'Daily Time  Readings Log'!B16)</f>
        <v>0</v>
      </c>
      <c r="U16" s="32">
        <f t="shared" si="5"/>
        <v>0</v>
      </c>
      <c r="V16" s="32">
        <f t="shared" ref="V16:W16" si="40">sum(S16+Y16)</f>
        <v>0</v>
      </c>
      <c r="W16" s="32">
        <f t="shared" si="40"/>
        <v>0</v>
      </c>
      <c r="X16" s="32">
        <f t="shared" si="7"/>
        <v>0</v>
      </c>
      <c r="Y16" s="32">
        <f>sum(Formulas!AI13*'Daily Time  Readings Log'!C16)</f>
        <v>0</v>
      </c>
      <c r="Z16" s="33">
        <f>sum(Formulas!AJ13*'Daily Time  Readings Log'!C16)</f>
        <v>0</v>
      </c>
      <c r="AA16" s="32">
        <f t="shared" si="8"/>
        <v>0</v>
      </c>
      <c r="AB16" s="32">
        <f t="shared" si="9"/>
        <v>0</v>
      </c>
      <c r="AC16" s="32">
        <f t="shared" si="10"/>
        <v>0</v>
      </c>
      <c r="AD16" s="32">
        <f t="shared" si="21"/>
        <v>0</v>
      </c>
      <c r="AE16" s="32">
        <f t="shared" si="22"/>
        <v>0</v>
      </c>
      <c r="AF16" s="32">
        <f t="shared" si="11"/>
        <v>0</v>
      </c>
      <c r="AG16">
        <f>if((E16="T"),Formulas!AG13,0)</f>
        <v>0</v>
      </c>
      <c r="AH16">
        <f t="shared" si="12"/>
        <v>0</v>
      </c>
      <c r="AI16" s="11">
        <f t="shared" si="13"/>
        <v>0</v>
      </c>
      <c r="AJ16">
        <f>if((E16="M.P."),Formulas!AG13,0)</f>
        <v>0</v>
      </c>
      <c r="AK16">
        <f t="shared" si="14"/>
        <v>0</v>
      </c>
      <c r="AL16" s="11">
        <f t="shared" si="15"/>
        <v>0</v>
      </c>
      <c r="AM16" s="11">
        <f t="shared" si="16"/>
        <v>0</v>
      </c>
      <c r="AN16">
        <f t="shared" si="23"/>
        <v>0</v>
      </c>
      <c r="AO16">
        <f t="shared" si="17"/>
        <v>0</v>
      </c>
      <c r="AP16">
        <f>if((AO16&gt;0),(AO16-Formulas!AM13),0)</f>
        <v>0</v>
      </c>
      <c r="AQ16">
        <f t="shared" si="24"/>
        <v>0</v>
      </c>
      <c r="AR16">
        <f t="shared" si="18"/>
        <v>0</v>
      </c>
      <c r="AS16">
        <f>if((AR16&gt;0),(AR16-Formulas!AM13),0)</f>
        <v>0</v>
      </c>
    </row>
    <row r="17">
      <c r="A17" s="34"/>
      <c r="B17" s="35"/>
      <c r="C17" s="35"/>
      <c r="D17" s="46"/>
      <c r="E17" s="37"/>
      <c r="F17" s="47"/>
      <c r="G17" s="47"/>
      <c r="H17" s="47"/>
      <c r="I17" s="47"/>
      <c r="J17" s="38"/>
      <c r="K17" s="45"/>
      <c r="L17" s="51"/>
      <c r="M17" s="51"/>
      <c r="N17" s="40">
        <f t="shared" ref="N17:O17" si="41">V17</f>
        <v>0</v>
      </c>
      <c r="O17" s="41">
        <f t="shared" si="41"/>
        <v>0</v>
      </c>
      <c r="P17" s="32">
        <f t="shared" si="4"/>
        <v>0</v>
      </c>
      <c r="Q17" s="40"/>
      <c r="R17" s="40"/>
      <c r="S17" s="40">
        <f>sum(Formulas!AI14*'Daily Time  Readings Log'!B17)</f>
        <v>0</v>
      </c>
      <c r="T17" s="41">
        <f>sum(Formulas!AJ14*'Daily Time  Readings Log'!B17)</f>
        <v>0</v>
      </c>
      <c r="U17" s="40">
        <f t="shared" si="5"/>
        <v>0</v>
      </c>
      <c r="V17" s="40">
        <f t="shared" ref="V17:W17" si="42">sum(S17+Y17)</f>
        <v>0</v>
      </c>
      <c r="W17" s="40">
        <f t="shared" si="42"/>
        <v>0</v>
      </c>
      <c r="X17" s="40">
        <f t="shared" si="7"/>
        <v>0</v>
      </c>
      <c r="Y17" s="40">
        <f>sum(Formulas!AI14*'Daily Time  Readings Log'!C17)</f>
        <v>0</v>
      </c>
      <c r="Z17" s="41">
        <f>sum(Formulas!AJ14*'Daily Time  Readings Log'!C17)</f>
        <v>0</v>
      </c>
      <c r="AA17" s="40">
        <f t="shared" si="8"/>
        <v>0</v>
      </c>
      <c r="AB17" s="40">
        <f t="shared" si="9"/>
        <v>0</v>
      </c>
      <c r="AC17" s="40">
        <f t="shared" si="10"/>
        <v>0</v>
      </c>
      <c r="AD17" s="40">
        <f t="shared" si="21"/>
        <v>0</v>
      </c>
      <c r="AE17" s="40">
        <f t="shared" si="22"/>
        <v>0</v>
      </c>
      <c r="AF17" s="40">
        <f t="shared" si="11"/>
        <v>0</v>
      </c>
      <c r="AG17">
        <f>if((E17="T"),Formulas!AG14,0)</f>
        <v>0</v>
      </c>
      <c r="AH17">
        <f t="shared" si="12"/>
        <v>0</v>
      </c>
      <c r="AI17" s="11">
        <f t="shared" si="13"/>
        <v>0</v>
      </c>
      <c r="AJ17">
        <f>if((E17="M.P."),Formulas!AG14,0)</f>
        <v>0</v>
      </c>
      <c r="AK17">
        <f t="shared" si="14"/>
        <v>0</v>
      </c>
      <c r="AL17" s="11">
        <f t="shared" si="15"/>
        <v>0</v>
      </c>
      <c r="AM17" s="11">
        <f t="shared" si="16"/>
        <v>0</v>
      </c>
      <c r="AN17">
        <f t="shared" si="23"/>
        <v>0</v>
      </c>
      <c r="AO17">
        <f t="shared" si="17"/>
        <v>0</v>
      </c>
      <c r="AP17">
        <f>if((AO17&gt;0),(AO17-Formulas!AM14),0)</f>
        <v>0</v>
      </c>
      <c r="AQ17">
        <f t="shared" si="24"/>
        <v>0</v>
      </c>
      <c r="AR17">
        <f t="shared" si="18"/>
        <v>0</v>
      </c>
      <c r="AS17">
        <f>if((AR17&gt;0),(AR17-Formulas!AM14),0)</f>
        <v>0</v>
      </c>
    </row>
    <row r="18">
      <c r="A18" s="27"/>
      <c r="B18" s="28"/>
      <c r="C18" s="28"/>
      <c r="D18" s="48"/>
      <c r="E18" s="29"/>
      <c r="F18" s="49"/>
      <c r="G18" s="49"/>
      <c r="H18" s="49"/>
      <c r="I18" s="49"/>
      <c r="J18" s="31"/>
      <c r="K18" s="44"/>
      <c r="L18" s="50"/>
      <c r="M18" s="50"/>
      <c r="N18" s="32">
        <f t="shared" ref="N18:O18" si="43">V18</f>
        <v>0</v>
      </c>
      <c r="O18" s="33">
        <f t="shared" si="43"/>
        <v>0</v>
      </c>
      <c r="P18" s="32">
        <f t="shared" si="4"/>
        <v>0</v>
      </c>
      <c r="Q18" s="32"/>
      <c r="R18" s="32"/>
      <c r="S18" s="32">
        <f>sum(Formulas!AI15*'Daily Time  Readings Log'!B18)</f>
        <v>0</v>
      </c>
      <c r="T18" s="33">
        <f>sum(Formulas!AJ15*'Daily Time  Readings Log'!B18)</f>
        <v>0</v>
      </c>
      <c r="U18" s="32">
        <f t="shared" si="5"/>
        <v>0</v>
      </c>
      <c r="V18" s="32">
        <f t="shared" ref="V18:W18" si="44">sum(S18+Y18)</f>
        <v>0</v>
      </c>
      <c r="W18" s="32">
        <f t="shared" si="44"/>
        <v>0</v>
      </c>
      <c r="X18" s="32">
        <f t="shared" si="7"/>
        <v>0</v>
      </c>
      <c r="Y18" s="32">
        <f>sum(Formulas!AI15*'Daily Time  Readings Log'!C18)</f>
        <v>0</v>
      </c>
      <c r="Z18" s="33">
        <f>sum(Formulas!AJ15*'Daily Time  Readings Log'!C18)</f>
        <v>0</v>
      </c>
      <c r="AA18" s="32">
        <f t="shared" si="8"/>
        <v>0</v>
      </c>
      <c r="AB18" s="32">
        <f t="shared" si="9"/>
        <v>0</v>
      </c>
      <c r="AC18" s="32">
        <f t="shared" si="10"/>
        <v>0</v>
      </c>
      <c r="AD18" s="32">
        <f t="shared" si="21"/>
        <v>0</v>
      </c>
      <c r="AE18" s="32">
        <f t="shared" si="22"/>
        <v>0</v>
      </c>
      <c r="AF18" s="32">
        <f t="shared" si="11"/>
        <v>0</v>
      </c>
      <c r="AG18">
        <f>if((E18="T"),Formulas!AG15,0)</f>
        <v>0</v>
      </c>
      <c r="AH18">
        <f t="shared" si="12"/>
        <v>0</v>
      </c>
      <c r="AI18" s="11">
        <f t="shared" si="13"/>
        <v>0</v>
      </c>
      <c r="AJ18">
        <f>if((E18="M.P."),Formulas!AG15,0)</f>
        <v>0</v>
      </c>
      <c r="AK18">
        <f t="shared" si="14"/>
        <v>0</v>
      </c>
      <c r="AL18" s="11">
        <f t="shared" si="15"/>
        <v>0</v>
      </c>
      <c r="AM18" s="11">
        <f t="shared" si="16"/>
        <v>0</v>
      </c>
      <c r="AN18">
        <f t="shared" si="23"/>
        <v>0</v>
      </c>
      <c r="AO18">
        <f t="shared" si="17"/>
        <v>0</v>
      </c>
      <c r="AP18">
        <f>if((AO18&gt;0),(AO18-Formulas!AM15),0)</f>
        <v>0</v>
      </c>
      <c r="AQ18">
        <f t="shared" si="24"/>
        <v>0</v>
      </c>
      <c r="AR18">
        <f t="shared" si="18"/>
        <v>0</v>
      </c>
      <c r="AS18">
        <f>if((AR18&gt;0),(AR18-Formulas!AM15),0)</f>
        <v>0</v>
      </c>
    </row>
    <row r="19">
      <c r="A19" s="34"/>
      <c r="B19" s="35"/>
      <c r="C19" s="35"/>
      <c r="D19" s="46"/>
      <c r="E19" s="37"/>
      <c r="F19" s="47"/>
      <c r="G19" s="47"/>
      <c r="H19" s="47"/>
      <c r="I19" s="47"/>
      <c r="J19" s="38"/>
      <c r="K19" s="45"/>
      <c r="L19" s="51"/>
      <c r="M19" s="51"/>
      <c r="N19" s="40">
        <f t="shared" ref="N19:O19" si="45">V19</f>
        <v>0</v>
      </c>
      <c r="O19" s="41">
        <f t="shared" si="45"/>
        <v>0</v>
      </c>
      <c r="P19" s="32">
        <f t="shared" si="4"/>
        <v>0</v>
      </c>
      <c r="Q19" s="40"/>
      <c r="R19" s="40"/>
      <c r="S19" s="40">
        <f>sum(Formulas!AI16*'Daily Time  Readings Log'!B19)</f>
        <v>0</v>
      </c>
      <c r="T19" s="41">
        <f>sum(Formulas!AJ16*'Daily Time  Readings Log'!B19)</f>
        <v>0</v>
      </c>
      <c r="U19" s="40">
        <f t="shared" si="5"/>
        <v>0</v>
      </c>
      <c r="V19" s="40">
        <f t="shared" ref="V19:W19" si="46">sum(S19+Y19)</f>
        <v>0</v>
      </c>
      <c r="W19" s="40">
        <f t="shared" si="46"/>
        <v>0</v>
      </c>
      <c r="X19" s="40">
        <f t="shared" si="7"/>
        <v>0</v>
      </c>
      <c r="Y19" s="40">
        <f>sum(Formulas!AI16*'Daily Time  Readings Log'!C19)</f>
        <v>0</v>
      </c>
      <c r="Z19" s="41">
        <f>sum(Formulas!AJ16*'Daily Time  Readings Log'!C19)</f>
        <v>0</v>
      </c>
      <c r="AA19" s="40">
        <f t="shared" si="8"/>
        <v>0</v>
      </c>
      <c r="AB19" s="40">
        <f t="shared" si="9"/>
        <v>0</v>
      </c>
      <c r="AC19" s="40">
        <f t="shared" si="10"/>
        <v>0</v>
      </c>
      <c r="AD19" s="40">
        <f t="shared" si="21"/>
        <v>0</v>
      </c>
      <c r="AE19" s="40">
        <f t="shared" si="22"/>
        <v>0</v>
      </c>
      <c r="AF19" s="40">
        <f t="shared" si="11"/>
        <v>0</v>
      </c>
      <c r="AG19">
        <f>if((E19="T"),Formulas!AG16,0)</f>
        <v>0</v>
      </c>
      <c r="AH19">
        <f t="shared" si="12"/>
        <v>0</v>
      </c>
      <c r="AI19" s="11">
        <f t="shared" si="13"/>
        <v>0</v>
      </c>
      <c r="AJ19">
        <f>if((E19="M.P."),Formulas!AG16,0)</f>
        <v>0</v>
      </c>
      <c r="AK19">
        <f t="shared" si="14"/>
        <v>0</v>
      </c>
      <c r="AL19" s="11">
        <f t="shared" si="15"/>
        <v>0</v>
      </c>
      <c r="AM19" s="11">
        <f t="shared" si="16"/>
        <v>0</v>
      </c>
      <c r="AN19">
        <f t="shared" si="23"/>
        <v>0</v>
      </c>
      <c r="AO19">
        <f t="shared" si="17"/>
        <v>0</v>
      </c>
      <c r="AP19">
        <f>if((AO19&gt;0),(AO19-Formulas!AM16),0)</f>
        <v>0</v>
      </c>
      <c r="AQ19">
        <f t="shared" si="24"/>
        <v>0</v>
      </c>
      <c r="AR19">
        <f t="shared" si="18"/>
        <v>0</v>
      </c>
      <c r="AS19">
        <f>if((AR19&gt;0),(AR19-Formulas!AM16),0)</f>
        <v>0</v>
      </c>
    </row>
    <row r="20">
      <c r="A20" s="27"/>
      <c r="B20" s="28"/>
      <c r="C20" s="28"/>
      <c r="D20" s="48"/>
      <c r="E20" s="29"/>
      <c r="F20" s="49"/>
      <c r="G20" s="49"/>
      <c r="H20" s="49"/>
      <c r="I20" s="49"/>
      <c r="J20" s="31"/>
      <c r="K20" s="44"/>
      <c r="L20" s="50"/>
      <c r="M20" s="50"/>
      <c r="N20" s="32">
        <f t="shared" ref="N20:O20" si="47">V20</f>
        <v>0</v>
      </c>
      <c r="O20" s="33">
        <f t="shared" si="47"/>
        <v>0</v>
      </c>
      <c r="P20" s="32">
        <f t="shared" si="4"/>
        <v>0</v>
      </c>
      <c r="Q20" s="32"/>
      <c r="R20" s="32"/>
      <c r="S20" s="32">
        <f>sum(Formulas!AI17*'Daily Time  Readings Log'!B20)</f>
        <v>0</v>
      </c>
      <c r="T20" s="33">
        <f>sum(Formulas!AJ17*'Daily Time  Readings Log'!B20)</f>
        <v>0</v>
      </c>
      <c r="U20" s="32">
        <f t="shared" si="5"/>
        <v>0</v>
      </c>
      <c r="V20" s="32">
        <f t="shared" ref="V20:W20" si="48">sum(S20+Y20)</f>
        <v>0</v>
      </c>
      <c r="W20" s="32">
        <f t="shared" si="48"/>
        <v>0</v>
      </c>
      <c r="X20" s="32">
        <f t="shared" si="7"/>
        <v>0</v>
      </c>
      <c r="Y20" s="32">
        <f>sum(Formulas!AI17*'Daily Time  Readings Log'!C20)</f>
        <v>0</v>
      </c>
      <c r="Z20" s="33">
        <f>sum(Formulas!AJ17*'Daily Time  Readings Log'!C20)</f>
        <v>0</v>
      </c>
      <c r="AA20" s="32">
        <f t="shared" si="8"/>
        <v>0</v>
      </c>
      <c r="AB20" s="32">
        <f t="shared" si="9"/>
        <v>0</v>
      </c>
      <c r="AC20" s="32">
        <f t="shared" si="10"/>
        <v>0</v>
      </c>
      <c r="AD20" s="32">
        <f t="shared" si="21"/>
        <v>0</v>
      </c>
      <c r="AE20" s="32">
        <f t="shared" si="22"/>
        <v>0</v>
      </c>
      <c r="AF20" s="32">
        <f t="shared" si="11"/>
        <v>0</v>
      </c>
      <c r="AG20">
        <f>if((E20="T"),Formulas!AG17,0)</f>
        <v>0</v>
      </c>
      <c r="AH20">
        <f t="shared" si="12"/>
        <v>0</v>
      </c>
      <c r="AI20" s="11">
        <f t="shared" si="13"/>
        <v>0</v>
      </c>
      <c r="AJ20">
        <f>if((E20="M.P."),Formulas!AG17,0)</f>
        <v>0</v>
      </c>
      <c r="AK20">
        <f t="shared" si="14"/>
        <v>0</v>
      </c>
      <c r="AL20" s="11">
        <f t="shared" si="15"/>
        <v>0</v>
      </c>
      <c r="AM20" s="11">
        <f t="shared" si="16"/>
        <v>0</v>
      </c>
      <c r="AN20">
        <f t="shared" si="23"/>
        <v>0</v>
      </c>
      <c r="AO20">
        <f t="shared" si="17"/>
        <v>0</v>
      </c>
      <c r="AP20">
        <f>if((AO20&gt;0),(AO20-Formulas!AM17),0)</f>
        <v>0</v>
      </c>
      <c r="AQ20">
        <f t="shared" si="24"/>
        <v>0</v>
      </c>
      <c r="AR20">
        <f t="shared" si="18"/>
        <v>0</v>
      </c>
      <c r="AS20">
        <f>if((AR20&gt;0),(AR20-Formulas!AM17),0)</f>
        <v>0</v>
      </c>
    </row>
    <row r="21">
      <c r="A21" s="34"/>
      <c r="B21" s="35"/>
      <c r="C21" s="35"/>
      <c r="D21" s="46"/>
      <c r="E21" s="37"/>
      <c r="F21" s="47"/>
      <c r="G21" s="47"/>
      <c r="H21" s="47"/>
      <c r="I21" s="47"/>
      <c r="J21" s="38"/>
      <c r="K21" s="45"/>
      <c r="L21" s="51"/>
      <c r="M21" s="51"/>
      <c r="N21" s="40">
        <f t="shared" ref="N21:O21" si="49">V21</f>
        <v>0</v>
      </c>
      <c r="O21" s="41">
        <f t="shared" si="49"/>
        <v>0</v>
      </c>
      <c r="P21" s="32">
        <f t="shared" si="4"/>
        <v>0</v>
      </c>
      <c r="Q21" s="40"/>
      <c r="R21" s="40"/>
      <c r="S21" s="40">
        <f>sum(Formulas!AI18*'Daily Time  Readings Log'!B21)</f>
        <v>0</v>
      </c>
      <c r="T21" s="41">
        <f>sum(Formulas!AJ18*'Daily Time  Readings Log'!B21)</f>
        <v>0</v>
      </c>
      <c r="U21" s="40">
        <f t="shared" si="5"/>
        <v>0</v>
      </c>
      <c r="V21" s="40">
        <f t="shared" ref="V21:W21" si="50">sum(S21+Y21)</f>
        <v>0</v>
      </c>
      <c r="W21" s="40">
        <f t="shared" si="50"/>
        <v>0</v>
      </c>
      <c r="X21" s="40">
        <f t="shared" si="7"/>
        <v>0</v>
      </c>
      <c r="Y21" s="40">
        <f>sum(Formulas!AI18*'Daily Time  Readings Log'!C21)</f>
        <v>0</v>
      </c>
      <c r="Z21" s="41">
        <f>sum(Formulas!AJ18*'Daily Time  Readings Log'!C21)</f>
        <v>0</v>
      </c>
      <c r="AA21" s="40">
        <f t="shared" si="8"/>
        <v>0</v>
      </c>
      <c r="AB21" s="40">
        <f t="shared" si="9"/>
        <v>0</v>
      </c>
      <c r="AC21" s="40">
        <f t="shared" si="10"/>
        <v>0</v>
      </c>
      <c r="AD21" s="40">
        <f t="shared" si="21"/>
        <v>0</v>
      </c>
      <c r="AE21" s="40">
        <f t="shared" si="22"/>
        <v>0</v>
      </c>
      <c r="AF21" s="40">
        <f t="shared" si="11"/>
        <v>0</v>
      </c>
      <c r="AG21">
        <f>if((E21="T"),Formulas!AG18,0)</f>
        <v>0</v>
      </c>
      <c r="AH21">
        <f t="shared" si="12"/>
        <v>0</v>
      </c>
      <c r="AI21" s="11">
        <f t="shared" si="13"/>
        <v>0</v>
      </c>
      <c r="AJ21">
        <f>if((E21="M.P."),Formulas!AG18,0)</f>
        <v>0</v>
      </c>
      <c r="AK21">
        <f t="shared" si="14"/>
        <v>0</v>
      </c>
      <c r="AL21" s="11">
        <f t="shared" si="15"/>
        <v>0</v>
      </c>
      <c r="AM21" s="11">
        <f t="shared" si="16"/>
        <v>0</v>
      </c>
      <c r="AN21">
        <f t="shared" si="23"/>
        <v>0</v>
      </c>
      <c r="AO21">
        <f t="shared" si="17"/>
        <v>0</v>
      </c>
      <c r="AP21">
        <f>if((AO21&gt;0),(AO21-Formulas!AM18),0)</f>
        <v>0</v>
      </c>
      <c r="AQ21">
        <f t="shared" si="24"/>
        <v>0</v>
      </c>
      <c r="AR21">
        <f t="shared" si="18"/>
        <v>0</v>
      </c>
      <c r="AS21">
        <f>if((AR21&gt;0),(AR21-Formulas!AM18),0)</f>
        <v>0</v>
      </c>
    </row>
    <row r="22">
      <c r="A22" s="27"/>
      <c r="B22" s="28"/>
      <c r="C22" s="28"/>
      <c r="D22" s="48"/>
      <c r="E22" s="29"/>
      <c r="F22" s="49"/>
      <c r="G22" s="49"/>
      <c r="H22" s="49"/>
      <c r="I22" s="49"/>
      <c r="J22" s="31"/>
      <c r="K22" s="44"/>
      <c r="L22" s="50"/>
      <c r="M22" s="50"/>
      <c r="N22" s="32">
        <f t="shared" ref="N22:O22" si="51">V22</f>
        <v>0</v>
      </c>
      <c r="O22" s="33">
        <f t="shared" si="51"/>
        <v>0</v>
      </c>
      <c r="P22" s="32">
        <f t="shared" si="4"/>
        <v>0</v>
      </c>
      <c r="Q22" s="32"/>
      <c r="R22" s="32"/>
      <c r="S22" s="32">
        <f>sum(Formulas!AI19*'Daily Time  Readings Log'!B22)</f>
        <v>0</v>
      </c>
      <c r="T22" s="33">
        <f>sum(Formulas!AJ19*'Daily Time  Readings Log'!B22)</f>
        <v>0</v>
      </c>
      <c r="U22" s="32">
        <f t="shared" si="5"/>
        <v>0</v>
      </c>
      <c r="V22" s="32">
        <f t="shared" ref="V22:W22" si="52">sum(S22+Y22)</f>
        <v>0</v>
      </c>
      <c r="W22" s="32">
        <f t="shared" si="52"/>
        <v>0</v>
      </c>
      <c r="X22" s="32">
        <f t="shared" si="7"/>
        <v>0</v>
      </c>
      <c r="Y22" s="32">
        <f>sum(Formulas!AI19*'Daily Time  Readings Log'!C22)</f>
        <v>0</v>
      </c>
      <c r="Z22" s="33">
        <f>sum(Formulas!AJ19*'Daily Time  Readings Log'!C22)</f>
        <v>0</v>
      </c>
      <c r="AA22" s="32">
        <f t="shared" si="8"/>
        <v>0</v>
      </c>
      <c r="AB22" s="32">
        <f t="shared" si="9"/>
        <v>0</v>
      </c>
      <c r="AC22" s="32">
        <f t="shared" si="10"/>
        <v>0</v>
      </c>
      <c r="AD22" s="32">
        <f t="shared" si="21"/>
        <v>0</v>
      </c>
      <c r="AE22" s="32">
        <f t="shared" si="22"/>
        <v>0</v>
      </c>
      <c r="AF22" s="32">
        <f t="shared" si="11"/>
        <v>0</v>
      </c>
      <c r="AG22">
        <f>if((E22="T"),Formulas!AG19,0)</f>
        <v>0</v>
      </c>
      <c r="AH22">
        <f t="shared" si="12"/>
        <v>0</v>
      </c>
      <c r="AI22" s="11">
        <f t="shared" si="13"/>
        <v>0</v>
      </c>
      <c r="AJ22">
        <f>if((E22="M.P."),Formulas!AG19,0)</f>
        <v>0</v>
      </c>
      <c r="AK22">
        <f t="shared" si="14"/>
        <v>0</v>
      </c>
      <c r="AL22" s="11">
        <f t="shared" si="15"/>
        <v>0</v>
      </c>
      <c r="AM22" s="11">
        <f t="shared" si="16"/>
        <v>0</v>
      </c>
      <c r="AN22">
        <f t="shared" si="23"/>
        <v>0</v>
      </c>
      <c r="AO22">
        <f t="shared" si="17"/>
        <v>0</v>
      </c>
      <c r="AP22">
        <f>if((AO22&gt;0),(AO22-Formulas!AM19),0)</f>
        <v>0</v>
      </c>
      <c r="AQ22">
        <f t="shared" si="24"/>
        <v>0</v>
      </c>
      <c r="AR22">
        <f t="shared" si="18"/>
        <v>0</v>
      </c>
      <c r="AS22">
        <f>if((AR22&gt;0),(AR22-Formulas!AM19),0)</f>
        <v>0</v>
      </c>
    </row>
    <row r="23">
      <c r="A23" s="34"/>
      <c r="B23" s="35"/>
      <c r="C23" s="35"/>
      <c r="D23" s="46"/>
      <c r="E23" s="37"/>
      <c r="F23" s="47"/>
      <c r="G23" s="47"/>
      <c r="H23" s="47"/>
      <c r="I23" s="47"/>
      <c r="J23" s="38"/>
      <c r="K23" s="45"/>
      <c r="L23" s="51"/>
      <c r="M23" s="51"/>
      <c r="N23" s="40">
        <f t="shared" ref="N23:O23" si="53">V23</f>
        <v>0</v>
      </c>
      <c r="O23" s="41">
        <f t="shared" si="53"/>
        <v>0</v>
      </c>
      <c r="P23" s="32">
        <f t="shared" si="4"/>
        <v>0</v>
      </c>
      <c r="Q23" s="40"/>
      <c r="R23" s="40"/>
      <c r="S23" s="40">
        <f>sum(Formulas!AI20*'Daily Time  Readings Log'!B23)</f>
        <v>0</v>
      </c>
      <c r="T23" s="41">
        <f>sum(Formulas!AJ20*'Daily Time  Readings Log'!B23)</f>
        <v>0</v>
      </c>
      <c r="U23" s="40">
        <f t="shared" si="5"/>
        <v>0</v>
      </c>
      <c r="V23" s="40">
        <f t="shared" ref="V23:W23" si="54">sum(S23+Y23)</f>
        <v>0</v>
      </c>
      <c r="W23" s="40">
        <f t="shared" si="54"/>
        <v>0</v>
      </c>
      <c r="X23" s="40">
        <f t="shared" si="7"/>
        <v>0</v>
      </c>
      <c r="Y23" s="40">
        <f>sum(Formulas!AI20*'Daily Time  Readings Log'!C23)</f>
        <v>0</v>
      </c>
      <c r="Z23" s="41">
        <f>sum(Formulas!AJ20*'Daily Time  Readings Log'!C23)</f>
        <v>0</v>
      </c>
      <c r="AA23" s="40">
        <f t="shared" si="8"/>
        <v>0</v>
      </c>
      <c r="AB23" s="40">
        <f t="shared" si="9"/>
        <v>0</v>
      </c>
      <c r="AC23" s="40">
        <f t="shared" si="10"/>
        <v>0</v>
      </c>
      <c r="AD23" s="40">
        <f t="shared" si="21"/>
        <v>0</v>
      </c>
      <c r="AE23" s="40">
        <f t="shared" si="22"/>
        <v>0</v>
      </c>
      <c r="AF23" s="40">
        <f t="shared" si="11"/>
        <v>0</v>
      </c>
      <c r="AG23">
        <f>if((E23="T"),Formulas!AG20,0)</f>
        <v>0</v>
      </c>
      <c r="AH23">
        <f t="shared" si="12"/>
        <v>0</v>
      </c>
      <c r="AI23" s="11">
        <f t="shared" si="13"/>
        <v>0</v>
      </c>
      <c r="AJ23">
        <f>if((E23="M.P."),Formulas!AG20,0)</f>
        <v>0</v>
      </c>
      <c r="AK23">
        <f t="shared" si="14"/>
        <v>0</v>
      </c>
      <c r="AL23" s="11">
        <f t="shared" si="15"/>
        <v>0</v>
      </c>
      <c r="AM23" s="11">
        <f t="shared" si="16"/>
        <v>0</v>
      </c>
      <c r="AN23">
        <f t="shared" si="23"/>
        <v>0</v>
      </c>
      <c r="AO23">
        <f t="shared" si="17"/>
        <v>0</v>
      </c>
      <c r="AP23">
        <f>if((AO23&gt;0),(AO23-Formulas!AM20),0)</f>
        <v>0</v>
      </c>
      <c r="AQ23">
        <f t="shared" si="24"/>
        <v>0</v>
      </c>
      <c r="AR23">
        <f t="shared" si="18"/>
        <v>0</v>
      </c>
      <c r="AS23">
        <f>if((AR23&gt;0),(AR23-Formulas!AM20),0)</f>
        <v>0</v>
      </c>
    </row>
    <row r="24">
      <c r="A24" s="27"/>
      <c r="B24" s="28"/>
      <c r="C24" s="28"/>
      <c r="D24" s="48"/>
      <c r="E24" s="29"/>
      <c r="F24" s="49"/>
      <c r="G24" s="49"/>
      <c r="H24" s="49"/>
      <c r="I24" s="49"/>
      <c r="J24" s="31"/>
      <c r="K24" s="44"/>
      <c r="L24" s="50"/>
      <c r="M24" s="50"/>
      <c r="N24" s="32">
        <f t="shared" ref="N24:O24" si="55">V24</f>
        <v>0</v>
      </c>
      <c r="O24" s="33">
        <f t="shared" si="55"/>
        <v>0</v>
      </c>
      <c r="P24" s="32">
        <f t="shared" si="4"/>
        <v>0</v>
      </c>
      <c r="Q24" s="32"/>
      <c r="R24" s="32"/>
      <c r="S24" s="32">
        <f>sum(Formulas!AI21*'Daily Time  Readings Log'!B24)</f>
        <v>0</v>
      </c>
      <c r="T24" s="33">
        <f>sum(Formulas!AJ21*'Daily Time  Readings Log'!B24)</f>
        <v>0</v>
      </c>
      <c r="U24" s="32">
        <f t="shared" si="5"/>
        <v>0</v>
      </c>
      <c r="V24" s="32">
        <f t="shared" ref="V24:W24" si="56">sum(S24+Y24)</f>
        <v>0</v>
      </c>
      <c r="W24" s="32">
        <f t="shared" si="56"/>
        <v>0</v>
      </c>
      <c r="X24" s="32">
        <f t="shared" si="7"/>
        <v>0</v>
      </c>
      <c r="Y24" s="32">
        <f>sum(Formulas!AI21*'Daily Time  Readings Log'!C24)</f>
        <v>0</v>
      </c>
      <c r="Z24" s="33">
        <f>sum(Formulas!AJ21*'Daily Time  Readings Log'!C24)</f>
        <v>0</v>
      </c>
      <c r="AA24" s="32">
        <f t="shared" si="8"/>
        <v>0</v>
      </c>
      <c r="AB24" s="32">
        <f t="shared" si="9"/>
        <v>0</v>
      </c>
      <c r="AC24" s="32">
        <f t="shared" si="10"/>
        <v>0</v>
      </c>
      <c r="AD24" s="32">
        <f t="shared" si="21"/>
        <v>0</v>
      </c>
      <c r="AE24" s="32">
        <f t="shared" si="22"/>
        <v>0</v>
      </c>
      <c r="AF24" s="32">
        <f t="shared" si="11"/>
        <v>0</v>
      </c>
      <c r="AG24">
        <f>if((E24="T"),Formulas!AG21,0)</f>
        <v>0</v>
      </c>
      <c r="AH24">
        <f t="shared" si="12"/>
        <v>0</v>
      </c>
      <c r="AI24" s="11">
        <f t="shared" si="13"/>
        <v>0</v>
      </c>
      <c r="AJ24">
        <f>if((E24="M.P."),Formulas!AG21,0)</f>
        <v>0</v>
      </c>
      <c r="AK24">
        <f t="shared" si="14"/>
        <v>0</v>
      </c>
      <c r="AL24" s="11">
        <f t="shared" si="15"/>
        <v>0</v>
      </c>
      <c r="AM24" s="11">
        <f t="shared" si="16"/>
        <v>0</v>
      </c>
      <c r="AN24">
        <f t="shared" si="23"/>
        <v>0</v>
      </c>
      <c r="AO24">
        <f t="shared" si="17"/>
        <v>0</v>
      </c>
      <c r="AP24">
        <f>if((AO24&gt;0),(AO24-Formulas!AM21),0)</f>
        <v>0</v>
      </c>
      <c r="AQ24">
        <f t="shared" si="24"/>
        <v>0</v>
      </c>
      <c r="AR24">
        <f t="shared" si="18"/>
        <v>0</v>
      </c>
      <c r="AS24">
        <f>if((AR24&gt;0),(AR24-Formulas!AM21),0)</f>
        <v>0</v>
      </c>
    </row>
    <row r="25">
      <c r="A25" s="34"/>
      <c r="B25" s="35"/>
      <c r="C25" s="35"/>
      <c r="D25" s="46"/>
      <c r="E25" s="37"/>
      <c r="F25" s="47"/>
      <c r="G25" s="47"/>
      <c r="H25" s="47"/>
      <c r="I25" s="47"/>
      <c r="J25" s="38"/>
      <c r="K25" s="45"/>
      <c r="L25" s="51"/>
      <c r="M25" s="51"/>
      <c r="N25" s="40">
        <f t="shared" ref="N25:O25" si="57">V25</f>
        <v>0</v>
      </c>
      <c r="O25" s="41">
        <f t="shared" si="57"/>
        <v>0</v>
      </c>
      <c r="P25" s="32">
        <f t="shared" si="4"/>
        <v>0</v>
      </c>
      <c r="Q25" s="40"/>
      <c r="R25" s="40"/>
      <c r="S25" s="40">
        <f>sum(Formulas!AI22*'Daily Time  Readings Log'!B25)</f>
        <v>0</v>
      </c>
      <c r="T25" s="41">
        <f>sum(Formulas!AJ22*'Daily Time  Readings Log'!B25)</f>
        <v>0</v>
      </c>
      <c r="U25" s="40">
        <f t="shared" si="5"/>
        <v>0</v>
      </c>
      <c r="V25" s="40">
        <f t="shared" ref="V25:W25" si="58">sum(S25+Y25)</f>
        <v>0</v>
      </c>
      <c r="W25" s="40">
        <f t="shared" si="58"/>
        <v>0</v>
      </c>
      <c r="X25" s="40">
        <f t="shared" si="7"/>
        <v>0</v>
      </c>
      <c r="Y25" s="40">
        <f>sum(Formulas!AI22*'Daily Time  Readings Log'!C25)</f>
        <v>0</v>
      </c>
      <c r="Z25" s="41">
        <f>sum(Formulas!AJ22*'Daily Time  Readings Log'!C25)</f>
        <v>0</v>
      </c>
      <c r="AA25" s="40">
        <f t="shared" si="8"/>
        <v>0</v>
      </c>
      <c r="AB25" s="40">
        <f t="shared" si="9"/>
        <v>0</v>
      </c>
      <c r="AC25" s="40">
        <f t="shared" si="10"/>
        <v>0</v>
      </c>
      <c r="AD25" s="40">
        <f t="shared" si="21"/>
        <v>0</v>
      </c>
      <c r="AE25" s="40">
        <f t="shared" si="22"/>
        <v>0</v>
      </c>
      <c r="AF25" s="40">
        <f t="shared" si="11"/>
        <v>0</v>
      </c>
      <c r="AG25">
        <f>if((E25="T"),Formulas!AG22,0)</f>
        <v>0</v>
      </c>
      <c r="AH25">
        <f t="shared" si="12"/>
        <v>0</v>
      </c>
      <c r="AI25" s="11">
        <f t="shared" si="13"/>
        <v>0</v>
      </c>
      <c r="AJ25">
        <f>if((E25="M.P."),Formulas!AG22,0)</f>
        <v>0</v>
      </c>
      <c r="AK25">
        <f t="shared" si="14"/>
        <v>0</v>
      </c>
      <c r="AL25" s="11">
        <f t="shared" si="15"/>
        <v>0</v>
      </c>
      <c r="AM25" s="11">
        <f t="shared" si="16"/>
        <v>0</v>
      </c>
      <c r="AN25">
        <f t="shared" si="23"/>
        <v>0</v>
      </c>
      <c r="AO25">
        <f t="shared" si="17"/>
        <v>0</v>
      </c>
      <c r="AP25">
        <f>if((AO25&gt;0),(AO25-Formulas!AM22),0)</f>
        <v>0</v>
      </c>
      <c r="AQ25">
        <f t="shared" si="24"/>
        <v>0</v>
      </c>
      <c r="AR25">
        <f t="shared" si="18"/>
        <v>0</v>
      </c>
      <c r="AS25">
        <f>if((AR25&gt;0),(AR25-Formulas!AM22),0)</f>
        <v>0</v>
      </c>
    </row>
    <row r="26">
      <c r="A26" s="27"/>
      <c r="B26" s="28"/>
      <c r="C26" s="28"/>
      <c r="D26" s="48"/>
      <c r="E26" s="29"/>
      <c r="F26" s="49"/>
      <c r="G26" s="49"/>
      <c r="H26" s="49"/>
      <c r="I26" s="49"/>
      <c r="J26" s="31"/>
      <c r="K26" s="44"/>
      <c r="L26" s="50"/>
      <c r="M26" s="50"/>
      <c r="N26" s="32">
        <f t="shared" ref="N26:O26" si="59">V26</f>
        <v>0</v>
      </c>
      <c r="O26" s="33">
        <f t="shared" si="59"/>
        <v>0</v>
      </c>
      <c r="P26" s="32">
        <f t="shared" si="4"/>
        <v>0</v>
      </c>
      <c r="Q26" s="32"/>
      <c r="R26" s="32"/>
      <c r="S26" s="32">
        <f>sum(Formulas!AI23*'Daily Time  Readings Log'!B26)</f>
        <v>0</v>
      </c>
      <c r="T26" s="33">
        <f>sum(Formulas!AJ23*'Daily Time  Readings Log'!B26)</f>
        <v>0</v>
      </c>
      <c r="U26" s="32">
        <f t="shared" si="5"/>
        <v>0</v>
      </c>
      <c r="V26" s="32">
        <f t="shared" ref="V26:W26" si="60">sum(S26+Y26)</f>
        <v>0</v>
      </c>
      <c r="W26" s="32">
        <f t="shared" si="60"/>
        <v>0</v>
      </c>
      <c r="X26" s="32">
        <f t="shared" si="7"/>
        <v>0</v>
      </c>
      <c r="Y26" s="32">
        <f>sum(Formulas!AI23*'Daily Time  Readings Log'!C26)</f>
        <v>0</v>
      </c>
      <c r="Z26" s="33">
        <f>sum(Formulas!AJ23*'Daily Time  Readings Log'!C26)</f>
        <v>0</v>
      </c>
      <c r="AA26" s="32">
        <f t="shared" si="8"/>
        <v>0</v>
      </c>
      <c r="AB26" s="32">
        <f t="shared" si="9"/>
        <v>0</v>
      </c>
      <c r="AC26" s="32">
        <f t="shared" si="10"/>
        <v>0</v>
      </c>
      <c r="AD26" s="32">
        <f t="shared" si="21"/>
        <v>0</v>
      </c>
      <c r="AE26" s="32">
        <f t="shared" si="22"/>
        <v>0</v>
      </c>
      <c r="AF26" s="32">
        <f t="shared" si="11"/>
        <v>0</v>
      </c>
      <c r="AG26">
        <f>if((E26="T"),Formulas!AG23,0)</f>
        <v>0</v>
      </c>
      <c r="AH26">
        <f t="shared" si="12"/>
        <v>0</v>
      </c>
      <c r="AI26" s="11">
        <f t="shared" si="13"/>
        <v>0</v>
      </c>
      <c r="AJ26">
        <f>if((E26="M.P."),Formulas!AG23,0)</f>
        <v>0</v>
      </c>
      <c r="AK26">
        <f t="shared" si="14"/>
        <v>0</v>
      </c>
      <c r="AL26" s="11">
        <f t="shared" si="15"/>
        <v>0</v>
      </c>
      <c r="AM26" s="11">
        <f t="shared" si="16"/>
        <v>0</v>
      </c>
      <c r="AN26">
        <f t="shared" si="23"/>
        <v>0</v>
      </c>
      <c r="AO26">
        <f t="shared" si="17"/>
        <v>0</v>
      </c>
      <c r="AP26">
        <f>if((AO26&gt;0),(AO26-Formulas!AM23),0)</f>
        <v>0</v>
      </c>
      <c r="AQ26">
        <f t="shared" si="24"/>
        <v>0</v>
      </c>
      <c r="AR26">
        <f t="shared" si="18"/>
        <v>0</v>
      </c>
      <c r="AS26">
        <f>if((AR26&gt;0),(AR26-Formulas!AM23),0)</f>
        <v>0</v>
      </c>
    </row>
    <row r="27">
      <c r="A27" s="34"/>
      <c r="B27" s="35"/>
      <c r="C27" s="35"/>
      <c r="D27" s="46"/>
      <c r="E27" s="37"/>
      <c r="F27" s="47"/>
      <c r="G27" s="47"/>
      <c r="H27" s="47"/>
      <c r="I27" s="47"/>
      <c r="J27" s="38"/>
      <c r="K27" s="45"/>
      <c r="L27" s="51"/>
      <c r="M27" s="51"/>
      <c r="N27" s="40">
        <f t="shared" ref="N27:O27" si="61">V27</f>
        <v>0</v>
      </c>
      <c r="O27" s="41">
        <f t="shared" si="61"/>
        <v>0</v>
      </c>
      <c r="P27" s="32">
        <f t="shared" si="4"/>
        <v>0</v>
      </c>
      <c r="Q27" s="40"/>
      <c r="R27" s="40"/>
      <c r="S27" s="40">
        <f>sum(Formulas!AI24*'Daily Time  Readings Log'!B27)</f>
        <v>0</v>
      </c>
      <c r="T27" s="41">
        <f>sum(Formulas!AJ24*'Daily Time  Readings Log'!B27)</f>
        <v>0</v>
      </c>
      <c r="U27" s="40">
        <f t="shared" si="5"/>
        <v>0</v>
      </c>
      <c r="V27" s="40">
        <f t="shared" ref="V27:W27" si="62">sum(S27+Y27)</f>
        <v>0</v>
      </c>
      <c r="W27" s="40">
        <f t="shared" si="62"/>
        <v>0</v>
      </c>
      <c r="X27" s="40">
        <f t="shared" si="7"/>
        <v>0</v>
      </c>
      <c r="Y27" s="40">
        <f>sum(Formulas!AI24*'Daily Time  Readings Log'!C27)</f>
        <v>0</v>
      </c>
      <c r="Z27" s="41">
        <f>sum(Formulas!AJ24*'Daily Time  Readings Log'!C27)</f>
        <v>0</v>
      </c>
      <c r="AA27" s="40">
        <f t="shared" si="8"/>
        <v>0</v>
      </c>
      <c r="AB27" s="40">
        <f t="shared" si="9"/>
        <v>0</v>
      </c>
      <c r="AC27" s="40">
        <f t="shared" si="10"/>
        <v>0</v>
      </c>
      <c r="AD27" s="40">
        <f t="shared" si="21"/>
        <v>0</v>
      </c>
      <c r="AE27" s="40">
        <f t="shared" si="22"/>
        <v>0</v>
      </c>
      <c r="AF27" s="40">
        <f t="shared" si="11"/>
        <v>0</v>
      </c>
      <c r="AG27">
        <f>if((E27="T"),Formulas!AG24,0)</f>
        <v>0</v>
      </c>
      <c r="AH27">
        <f t="shared" si="12"/>
        <v>0</v>
      </c>
      <c r="AI27" s="11">
        <f t="shared" si="13"/>
        <v>0</v>
      </c>
      <c r="AJ27">
        <f>if((E27="M.P."),Formulas!AG24,0)</f>
        <v>0</v>
      </c>
      <c r="AK27">
        <f t="shared" si="14"/>
        <v>0</v>
      </c>
      <c r="AL27" s="11">
        <f t="shared" si="15"/>
        <v>0</v>
      </c>
      <c r="AM27" s="11">
        <f t="shared" si="16"/>
        <v>0</v>
      </c>
      <c r="AN27">
        <f t="shared" si="23"/>
        <v>0</v>
      </c>
      <c r="AO27">
        <f t="shared" si="17"/>
        <v>0</v>
      </c>
      <c r="AP27">
        <f>if((AO27&gt;0),(AO27-Formulas!AM24),0)</f>
        <v>0</v>
      </c>
      <c r="AQ27">
        <f t="shared" si="24"/>
        <v>0</v>
      </c>
      <c r="AR27">
        <f t="shared" si="18"/>
        <v>0</v>
      </c>
      <c r="AS27">
        <f>if((AR27&gt;0),(AR27-Formulas!AM24),0)</f>
        <v>0</v>
      </c>
    </row>
    <row r="28">
      <c r="A28" s="27"/>
      <c r="B28" s="28"/>
      <c r="C28" s="28"/>
      <c r="D28" s="48"/>
      <c r="E28" s="29"/>
      <c r="F28" s="49"/>
      <c r="G28" s="49"/>
      <c r="H28" s="49"/>
      <c r="I28" s="49"/>
      <c r="J28" s="31"/>
      <c r="K28" s="44"/>
      <c r="L28" s="50"/>
      <c r="M28" s="50"/>
      <c r="N28" s="32">
        <f t="shared" ref="N28:O28" si="63">V28</f>
        <v>0</v>
      </c>
      <c r="O28" s="33">
        <f t="shared" si="63"/>
        <v>0</v>
      </c>
      <c r="P28" s="32">
        <f t="shared" si="4"/>
        <v>0</v>
      </c>
      <c r="Q28" s="32"/>
      <c r="R28" s="32"/>
      <c r="S28" s="32">
        <f>sum(Formulas!AI25*'Daily Time  Readings Log'!B28)</f>
        <v>0</v>
      </c>
      <c r="T28" s="33">
        <f>sum(Formulas!AJ25*'Daily Time  Readings Log'!B28)</f>
        <v>0</v>
      </c>
      <c r="U28" s="32">
        <f t="shared" si="5"/>
        <v>0</v>
      </c>
      <c r="V28" s="32">
        <f t="shared" ref="V28:W28" si="64">sum(S28+Y28)</f>
        <v>0</v>
      </c>
      <c r="W28" s="32">
        <f t="shared" si="64"/>
        <v>0</v>
      </c>
      <c r="X28" s="32">
        <f t="shared" si="7"/>
        <v>0</v>
      </c>
      <c r="Y28" s="32">
        <f>sum(Formulas!AI25*'Daily Time  Readings Log'!C28)</f>
        <v>0</v>
      </c>
      <c r="Z28" s="33">
        <f>sum(Formulas!AJ25*'Daily Time  Readings Log'!C28)</f>
        <v>0</v>
      </c>
      <c r="AA28" s="32">
        <f t="shared" si="8"/>
        <v>0</v>
      </c>
      <c r="AB28" s="32">
        <f t="shared" si="9"/>
        <v>0</v>
      </c>
      <c r="AC28" s="32">
        <f t="shared" si="10"/>
        <v>0</v>
      </c>
      <c r="AD28" s="32">
        <f t="shared" si="21"/>
        <v>0</v>
      </c>
      <c r="AE28" s="32">
        <f t="shared" si="22"/>
        <v>0</v>
      </c>
      <c r="AF28" s="32">
        <f t="shared" si="11"/>
        <v>0</v>
      </c>
      <c r="AG28">
        <f>if((E28="T"),Formulas!AG25,0)</f>
        <v>0</v>
      </c>
      <c r="AH28">
        <f t="shared" si="12"/>
        <v>0</v>
      </c>
      <c r="AI28" s="11">
        <f t="shared" si="13"/>
        <v>0</v>
      </c>
      <c r="AJ28">
        <f>if((E28="M.P."),Formulas!AG25,0)</f>
        <v>0</v>
      </c>
      <c r="AK28">
        <f t="shared" si="14"/>
        <v>0</v>
      </c>
      <c r="AL28" s="11">
        <f t="shared" si="15"/>
        <v>0</v>
      </c>
      <c r="AM28" s="11">
        <f t="shared" si="16"/>
        <v>0</v>
      </c>
      <c r="AN28">
        <f t="shared" si="23"/>
        <v>0</v>
      </c>
      <c r="AO28">
        <f t="shared" si="17"/>
        <v>0</v>
      </c>
      <c r="AP28">
        <f>if((AO28&gt;0),(AO28-Formulas!AM25),0)</f>
        <v>0</v>
      </c>
      <c r="AQ28">
        <f t="shared" si="24"/>
        <v>0</v>
      </c>
      <c r="AR28">
        <f t="shared" si="18"/>
        <v>0</v>
      </c>
      <c r="AS28">
        <f>if((AR28&gt;0),(AR28-Formulas!AM25),0)</f>
        <v>0</v>
      </c>
    </row>
    <row r="29">
      <c r="A29" s="34"/>
      <c r="B29" s="35"/>
      <c r="C29" s="35"/>
      <c r="D29" s="46"/>
      <c r="E29" s="37"/>
      <c r="F29" s="47"/>
      <c r="G29" s="47"/>
      <c r="H29" s="47"/>
      <c r="I29" s="47"/>
      <c r="J29" s="38"/>
      <c r="K29" s="45"/>
      <c r="L29" s="51"/>
      <c r="M29" s="51"/>
      <c r="N29" s="40">
        <f t="shared" ref="N29:O29" si="65">V29</f>
        <v>0</v>
      </c>
      <c r="O29" s="41">
        <f t="shared" si="65"/>
        <v>0</v>
      </c>
      <c r="P29" s="32">
        <f t="shared" si="4"/>
        <v>0</v>
      </c>
      <c r="Q29" s="40"/>
      <c r="R29" s="40"/>
      <c r="S29" s="40">
        <f>sum(Formulas!AI26*'Daily Time  Readings Log'!B29)</f>
        <v>0</v>
      </c>
      <c r="T29" s="41">
        <f>sum(Formulas!AJ26*'Daily Time  Readings Log'!B29)</f>
        <v>0</v>
      </c>
      <c r="U29" s="40">
        <f t="shared" si="5"/>
        <v>0</v>
      </c>
      <c r="V29" s="40">
        <f t="shared" ref="V29:W29" si="66">sum(S29+Y29)</f>
        <v>0</v>
      </c>
      <c r="W29" s="40">
        <f t="shared" si="66"/>
        <v>0</v>
      </c>
      <c r="X29" s="40">
        <f t="shared" si="7"/>
        <v>0</v>
      </c>
      <c r="Y29" s="40">
        <f>sum(Formulas!AI26*'Daily Time  Readings Log'!C29)</f>
        <v>0</v>
      </c>
      <c r="Z29" s="41">
        <f>sum(Formulas!AJ26*'Daily Time  Readings Log'!C29)</f>
        <v>0</v>
      </c>
      <c r="AA29" s="40">
        <f t="shared" si="8"/>
        <v>0</v>
      </c>
      <c r="AB29" s="40">
        <f t="shared" si="9"/>
        <v>0</v>
      </c>
      <c r="AC29" s="40">
        <f t="shared" si="10"/>
        <v>0</v>
      </c>
      <c r="AD29" s="40">
        <f t="shared" si="21"/>
        <v>0</v>
      </c>
      <c r="AE29" s="40">
        <f t="shared" si="22"/>
        <v>0</v>
      </c>
      <c r="AF29" s="40">
        <f t="shared" si="11"/>
        <v>0</v>
      </c>
      <c r="AG29">
        <f>if((E29="T"),Formulas!AG26,0)</f>
        <v>0</v>
      </c>
      <c r="AH29">
        <f t="shared" si="12"/>
        <v>0</v>
      </c>
      <c r="AI29" s="11">
        <f t="shared" si="13"/>
        <v>0</v>
      </c>
      <c r="AJ29">
        <f>if((E29="M.P."),Formulas!AG26,0)</f>
        <v>0</v>
      </c>
      <c r="AK29">
        <f t="shared" si="14"/>
        <v>0</v>
      </c>
      <c r="AL29" s="11">
        <f t="shared" si="15"/>
        <v>0</v>
      </c>
      <c r="AM29" s="11">
        <f t="shared" si="16"/>
        <v>0</v>
      </c>
      <c r="AN29">
        <f t="shared" si="23"/>
        <v>0</v>
      </c>
      <c r="AO29">
        <f t="shared" si="17"/>
        <v>0</v>
      </c>
      <c r="AP29">
        <f>if((AO29&gt;0),(AO29-Formulas!AM26),0)</f>
        <v>0</v>
      </c>
      <c r="AQ29">
        <f t="shared" si="24"/>
        <v>0</v>
      </c>
      <c r="AR29">
        <f t="shared" si="18"/>
        <v>0</v>
      </c>
      <c r="AS29">
        <f>if((AR29&gt;0),(AR29-Formulas!AM26),0)</f>
        <v>0</v>
      </c>
    </row>
    <row r="30">
      <c r="A30" s="27"/>
      <c r="B30" s="28"/>
      <c r="C30" s="28"/>
      <c r="D30" s="48"/>
      <c r="E30" s="29"/>
      <c r="F30" s="49"/>
      <c r="G30" s="49"/>
      <c r="H30" s="49"/>
      <c r="I30" s="49"/>
      <c r="J30" s="31"/>
      <c r="K30" s="44"/>
      <c r="L30" s="50"/>
      <c r="M30" s="50"/>
      <c r="N30" s="32">
        <f t="shared" ref="N30:O30" si="67">V30</f>
        <v>0</v>
      </c>
      <c r="O30" s="33">
        <f t="shared" si="67"/>
        <v>0</v>
      </c>
      <c r="P30" s="32">
        <f t="shared" si="4"/>
        <v>0</v>
      </c>
      <c r="Q30" s="32"/>
      <c r="R30" s="32"/>
      <c r="S30" s="32">
        <f>sum(Formulas!AI27*'Daily Time  Readings Log'!B30)</f>
        <v>0</v>
      </c>
      <c r="T30" s="33">
        <f>sum(Formulas!AJ27*'Daily Time  Readings Log'!B30)</f>
        <v>0</v>
      </c>
      <c r="U30" s="32">
        <f t="shared" si="5"/>
        <v>0</v>
      </c>
      <c r="V30" s="32">
        <f t="shared" ref="V30:W30" si="68">sum(S30+Y30)</f>
        <v>0</v>
      </c>
      <c r="W30" s="32">
        <f t="shared" si="68"/>
        <v>0</v>
      </c>
      <c r="X30" s="32">
        <f t="shared" si="7"/>
        <v>0</v>
      </c>
      <c r="Y30" s="32">
        <f>sum(Formulas!AI27*'Daily Time  Readings Log'!C30)</f>
        <v>0</v>
      </c>
      <c r="Z30" s="33">
        <f>sum(Formulas!AJ27*'Daily Time  Readings Log'!C30)</f>
        <v>0</v>
      </c>
      <c r="AA30" s="32">
        <f t="shared" si="8"/>
        <v>0</v>
      </c>
      <c r="AB30" s="32">
        <f t="shared" si="9"/>
        <v>0</v>
      </c>
      <c r="AC30" s="32">
        <f t="shared" si="10"/>
        <v>0</v>
      </c>
      <c r="AD30" s="32">
        <f t="shared" si="21"/>
        <v>0</v>
      </c>
      <c r="AE30" s="32">
        <f t="shared" si="22"/>
        <v>0</v>
      </c>
      <c r="AF30" s="32">
        <f t="shared" si="11"/>
        <v>0</v>
      </c>
      <c r="AG30">
        <f>if((E30="T"),Formulas!AG27,0)</f>
        <v>0</v>
      </c>
      <c r="AH30">
        <f t="shared" si="12"/>
        <v>0</v>
      </c>
      <c r="AI30" s="11">
        <f t="shared" si="13"/>
        <v>0</v>
      </c>
      <c r="AJ30">
        <f>if((E30="M.P."),Formulas!AG27,0)</f>
        <v>0</v>
      </c>
      <c r="AK30">
        <f t="shared" si="14"/>
        <v>0</v>
      </c>
      <c r="AL30" s="11">
        <f t="shared" si="15"/>
        <v>0</v>
      </c>
      <c r="AM30" s="11">
        <f t="shared" si="16"/>
        <v>0</v>
      </c>
      <c r="AN30">
        <f t="shared" si="23"/>
        <v>0</v>
      </c>
      <c r="AO30">
        <f t="shared" si="17"/>
        <v>0</v>
      </c>
      <c r="AP30">
        <f>if((AO30&gt;0),(AO30-Formulas!AM27),0)</f>
        <v>0</v>
      </c>
      <c r="AQ30">
        <f t="shared" si="24"/>
        <v>0</v>
      </c>
      <c r="AR30">
        <f t="shared" si="18"/>
        <v>0</v>
      </c>
      <c r="AS30">
        <f>if((AR30&gt;0),(AR30-Formulas!AM27),0)</f>
        <v>0</v>
      </c>
    </row>
    <row r="31">
      <c r="A31" s="34"/>
      <c r="B31" s="35"/>
      <c r="C31" s="35"/>
      <c r="D31" s="46"/>
      <c r="E31" s="37"/>
      <c r="F31" s="47"/>
      <c r="G31" s="47"/>
      <c r="H31" s="47"/>
      <c r="I31" s="47"/>
      <c r="J31" s="38"/>
      <c r="K31" s="45"/>
      <c r="L31" s="51"/>
      <c r="M31" s="51"/>
      <c r="N31" s="40">
        <f t="shared" ref="N31:O31" si="69">V31</f>
        <v>0</v>
      </c>
      <c r="O31" s="41">
        <f t="shared" si="69"/>
        <v>0</v>
      </c>
      <c r="P31" s="32">
        <f t="shared" si="4"/>
        <v>0</v>
      </c>
      <c r="Q31" s="40"/>
      <c r="R31" s="40"/>
      <c r="S31" s="40">
        <f>sum(Formulas!AI28*'Daily Time  Readings Log'!B31)</f>
        <v>0</v>
      </c>
      <c r="T31" s="41">
        <f>sum(Formulas!AJ28*'Daily Time  Readings Log'!B31)</f>
        <v>0</v>
      </c>
      <c r="U31" s="40">
        <f t="shared" si="5"/>
        <v>0</v>
      </c>
      <c r="V31" s="40">
        <f t="shared" ref="V31:W31" si="70">sum(S31+Y31)</f>
        <v>0</v>
      </c>
      <c r="W31" s="40">
        <f t="shared" si="70"/>
        <v>0</v>
      </c>
      <c r="X31" s="40">
        <f t="shared" si="7"/>
        <v>0</v>
      </c>
      <c r="Y31" s="40">
        <f>sum(Formulas!AI28*'Daily Time  Readings Log'!C31)</f>
        <v>0</v>
      </c>
      <c r="Z31" s="41">
        <f>sum(Formulas!AJ28*'Daily Time  Readings Log'!C31)</f>
        <v>0</v>
      </c>
      <c r="AA31" s="40">
        <f t="shared" si="8"/>
        <v>0</v>
      </c>
      <c r="AB31" s="40">
        <f t="shared" si="9"/>
        <v>0</v>
      </c>
      <c r="AC31" s="40">
        <f t="shared" si="10"/>
        <v>0</v>
      </c>
      <c r="AD31" s="40">
        <f t="shared" si="21"/>
        <v>0</v>
      </c>
      <c r="AE31" s="40">
        <f t="shared" si="22"/>
        <v>0</v>
      </c>
      <c r="AF31" s="40">
        <f t="shared" si="11"/>
        <v>0</v>
      </c>
      <c r="AG31">
        <f>if((E31="T"),Formulas!AG28,0)</f>
        <v>0</v>
      </c>
      <c r="AH31">
        <f t="shared" si="12"/>
        <v>0</v>
      </c>
      <c r="AI31" s="11">
        <f t="shared" si="13"/>
        <v>0</v>
      </c>
      <c r="AJ31">
        <f>if((E31="M.P."),Formulas!AG28,0)</f>
        <v>0</v>
      </c>
      <c r="AK31">
        <f t="shared" si="14"/>
        <v>0</v>
      </c>
      <c r="AL31" s="11">
        <f t="shared" si="15"/>
        <v>0</v>
      </c>
      <c r="AM31" s="11">
        <f t="shared" si="16"/>
        <v>0</v>
      </c>
      <c r="AN31">
        <f t="shared" si="23"/>
        <v>0</v>
      </c>
      <c r="AO31">
        <f t="shared" si="17"/>
        <v>0</v>
      </c>
      <c r="AP31">
        <f>if((AO31&gt;0),(AO31-Formulas!AM28),0)</f>
        <v>0</v>
      </c>
      <c r="AQ31">
        <f t="shared" si="24"/>
        <v>0</v>
      </c>
      <c r="AR31">
        <f t="shared" si="18"/>
        <v>0</v>
      </c>
      <c r="AS31">
        <f>if((AR31&gt;0),(AR31-Formulas!AM28),0)</f>
        <v>0</v>
      </c>
    </row>
    <row r="32">
      <c r="A32" s="27"/>
      <c r="B32" s="28"/>
      <c r="C32" s="28"/>
      <c r="D32" s="48"/>
      <c r="E32" s="29"/>
      <c r="F32" s="49"/>
      <c r="G32" s="49"/>
      <c r="H32" s="49"/>
      <c r="I32" s="49"/>
      <c r="J32" s="31"/>
      <c r="K32" s="44"/>
      <c r="L32" s="50"/>
      <c r="M32" s="50"/>
      <c r="N32" s="32">
        <f t="shared" ref="N32:O32" si="71">V32</f>
        <v>0</v>
      </c>
      <c r="O32" s="33">
        <f t="shared" si="71"/>
        <v>0</v>
      </c>
      <c r="P32" s="32">
        <f t="shared" si="4"/>
        <v>0</v>
      </c>
      <c r="Q32" s="32"/>
      <c r="R32" s="32"/>
      <c r="S32" s="32">
        <f>sum(Formulas!AI29*'Daily Time  Readings Log'!B32)</f>
        <v>0</v>
      </c>
      <c r="T32" s="33">
        <f>sum(Formulas!AJ29*'Daily Time  Readings Log'!B32)</f>
        <v>0</v>
      </c>
      <c r="U32" s="32">
        <f t="shared" si="5"/>
        <v>0</v>
      </c>
      <c r="V32" s="32">
        <f t="shared" ref="V32:W32" si="72">sum(S32+Y32)</f>
        <v>0</v>
      </c>
      <c r="W32" s="32">
        <f t="shared" si="72"/>
        <v>0</v>
      </c>
      <c r="X32" s="32">
        <f t="shared" si="7"/>
        <v>0</v>
      </c>
      <c r="Y32" s="32">
        <f>sum(Formulas!AI29*'Daily Time  Readings Log'!C32)</f>
        <v>0</v>
      </c>
      <c r="Z32" s="33">
        <f>sum(Formulas!AJ29*'Daily Time  Readings Log'!C32)</f>
        <v>0</v>
      </c>
      <c r="AA32" s="32">
        <f t="shared" si="8"/>
        <v>0</v>
      </c>
      <c r="AB32" s="32">
        <f t="shared" si="9"/>
        <v>0</v>
      </c>
      <c r="AC32" s="32">
        <f t="shared" si="10"/>
        <v>0</v>
      </c>
      <c r="AD32" s="32">
        <f t="shared" si="21"/>
        <v>0</v>
      </c>
      <c r="AE32" s="32">
        <f t="shared" si="22"/>
        <v>0</v>
      </c>
      <c r="AF32" s="32">
        <f t="shared" si="11"/>
        <v>0</v>
      </c>
      <c r="AG32">
        <f>if((E32="T"),Formulas!AG29,0)</f>
        <v>0</v>
      </c>
      <c r="AH32">
        <f t="shared" si="12"/>
        <v>0</v>
      </c>
      <c r="AI32" s="11">
        <f t="shared" si="13"/>
        <v>0</v>
      </c>
      <c r="AJ32">
        <f>if((E32="M.P."),Formulas!AG29,0)</f>
        <v>0</v>
      </c>
      <c r="AK32">
        <f t="shared" si="14"/>
        <v>0</v>
      </c>
      <c r="AL32" s="11">
        <f t="shared" si="15"/>
        <v>0</v>
      </c>
      <c r="AM32" s="11">
        <f t="shared" si="16"/>
        <v>0</v>
      </c>
      <c r="AN32">
        <f t="shared" si="23"/>
        <v>0</v>
      </c>
      <c r="AO32">
        <f t="shared" si="17"/>
        <v>0</v>
      </c>
      <c r="AP32">
        <f>if((AO32&gt;0),(AO32-Formulas!AM29),0)</f>
        <v>0</v>
      </c>
      <c r="AQ32">
        <f t="shared" si="24"/>
        <v>0</v>
      </c>
      <c r="AR32">
        <f t="shared" si="18"/>
        <v>0</v>
      </c>
      <c r="AS32">
        <f>if((AR32&gt;0),(AR32-Formulas!AM29),0)</f>
        <v>0</v>
      </c>
    </row>
    <row r="33">
      <c r="A33" s="34"/>
      <c r="B33" s="35"/>
      <c r="C33" s="35"/>
      <c r="D33" s="46"/>
      <c r="E33" s="37"/>
      <c r="F33" s="47"/>
      <c r="G33" s="47"/>
      <c r="H33" s="47"/>
      <c r="I33" s="47"/>
      <c r="J33" s="38"/>
      <c r="K33" s="45"/>
      <c r="L33" s="51"/>
      <c r="M33" s="51"/>
      <c r="N33" s="40">
        <f t="shared" ref="N33:O33" si="73">V33</f>
        <v>0</v>
      </c>
      <c r="O33" s="41">
        <f t="shared" si="73"/>
        <v>0</v>
      </c>
      <c r="P33" s="32">
        <f t="shared" si="4"/>
        <v>0</v>
      </c>
      <c r="Q33" s="40"/>
      <c r="R33" s="40"/>
      <c r="S33" s="40">
        <f>sum(Formulas!AI30*'Daily Time  Readings Log'!B33)</f>
        <v>0</v>
      </c>
      <c r="T33" s="41">
        <f>sum(Formulas!AJ30*'Daily Time  Readings Log'!B33)</f>
        <v>0</v>
      </c>
      <c r="U33" s="40">
        <f t="shared" si="5"/>
        <v>0</v>
      </c>
      <c r="V33" s="40">
        <f t="shared" ref="V33:W33" si="74">sum(S33+Y33)</f>
        <v>0</v>
      </c>
      <c r="W33" s="40">
        <f t="shared" si="74"/>
        <v>0</v>
      </c>
      <c r="X33" s="40">
        <f t="shared" si="7"/>
        <v>0</v>
      </c>
      <c r="Y33" s="40">
        <f>sum(Formulas!AI30*'Daily Time  Readings Log'!C33)</f>
        <v>0</v>
      </c>
      <c r="Z33" s="41">
        <f>sum(Formulas!AJ30*'Daily Time  Readings Log'!C33)</f>
        <v>0</v>
      </c>
      <c r="AA33" s="40">
        <f t="shared" si="8"/>
        <v>0</v>
      </c>
      <c r="AB33" s="40">
        <f t="shared" si="9"/>
        <v>0</v>
      </c>
      <c r="AC33" s="40">
        <f t="shared" si="10"/>
        <v>0</v>
      </c>
      <c r="AD33" s="40">
        <f t="shared" si="21"/>
        <v>0</v>
      </c>
      <c r="AE33" s="40">
        <f t="shared" si="22"/>
        <v>0</v>
      </c>
      <c r="AF33" s="40">
        <f t="shared" si="11"/>
        <v>0</v>
      </c>
      <c r="AG33">
        <f>if((E33="T"),Formulas!AG30,0)</f>
        <v>0</v>
      </c>
      <c r="AH33">
        <f t="shared" si="12"/>
        <v>0</v>
      </c>
      <c r="AI33" s="11">
        <f t="shared" si="13"/>
        <v>0</v>
      </c>
      <c r="AJ33">
        <f>if((E33="M.P."),Formulas!AG30,0)</f>
        <v>0</v>
      </c>
      <c r="AK33">
        <f t="shared" si="14"/>
        <v>0</v>
      </c>
      <c r="AL33" s="11">
        <f t="shared" si="15"/>
        <v>0</v>
      </c>
      <c r="AM33" s="11">
        <f t="shared" si="16"/>
        <v>0</v>
      </c>
      <c r="AN33">
        <f t="shared" si="23"/>
        <v>0</v>
      </c>
      <c r="AO33">
        <f t="shared" si="17"/>
        <v>0</v>
      </c>
      <c r="AP33">
        <f>if((AO33&gt;0),(AO33-Formulas!AM30),0)</f>
        <v>0</v>
      </c>
      <c r="AQ33">
        <f t="shared" si="24"/>
        <v>0</v>
      </c>
      <c r="AR33">
        <f t="shared" si="18"/>
        <v>0</v>
      </c>
      <c r="AS33">
        <f>if((AR33&gt;0),(AR33-Formulas!AM30),0)</f>
        <v>0</v>
      </c>
    </row>
    <row r="34">
      <c r="A34" s="27"/>
      <c r="B34" s="28"/>
      <c r="C34" s="28"/>
      <c r="D34" s="48"/>
      <c r="E34" s="29"/>
      <c r="F34" s="49"/>
      <c r="G34" s="49"/>
      <c r="H34" s="49"/>
      <c r="I34" s="49"/>
      <c r="J34" s="31"/>
      <c r="K34" s="44"/>
      <c r="L34" s="50"/>
      <c r="M34" s="50"/>
      <c r="N34" s="32">
        <f t="shared" ref="N34:O34" si="75">V34</f>
        <v>0</v>
      </c>
      <c r="O34" s="33">
        <f t="shared" si="75"/>
        <v>0</v>
      </c>
      <c r="P34" s="32">
        <f t="shared" si="4"/>
        <v>0</v>
      </c>
      <c r="Q34" s="32"/>
      <c r="R34" s="32"/>
      <c r="S34" s="32">
        <f>sum(Formulas!AI31*'Daily Time  Readings Log'!B34)</f>
        <v>0</v>
      </c>
      <c r="T34" s="33">
        <f>sum(Formulas!AJ31*'Daily Time  Readings Log'!B34)</f>
        <v>0</v>
      </c>
      <c r="U34" s="32">
        <f t="shared" si="5"/>
        <v>0</v>
      </c>
      <c r="V34" s="32">
        <f t="shared" ref="V34:W34" si="76">sum(S34+Y34)</f>
        <v>0</v>
      </c>
      <c r="W34" s="32">
        <f t="shared" si="76"/>
        <v>0</v>
      </c>
      <c r="X34" s="32">
        <f t="shared" si="7"/>
        <v>0</v>
      </c>
      <c r="Y34" s="32">
        <f>sum(Formulas!AI31*'Daily Time  Readings Log'!C34)</f>
        <v>0</v>
      </c>
      <c r="Z34" s="33">
        <f>sum(Formulas!AJ31*'Daily Time  Readings Log'!C34)</f>
        <v>0</v>
      </c>
      <c r="AA34" s="32">
        <f t="shared" si="8"/>
        <v>0</v>
      </c>
      <c r="AB34" s="32">
        <f t="shared" si="9"/>
        <v>0</v>
      </c>
      <c r="AC34" s="32">
        <f t="shared" si="10"/>
        <v>0</v>
      </c>
      <c r="AD34" s="32">
        <f t="shared" si="21"/>
        <v>0</v>
      </c>
      <c r="AE34" s="32">
        <f t="shared" si="22"/>
        <v>0</v>
      </c>
      <c r="AF34" s="32">
        <f t="shared" si="11"/>
        <v>0</v>
      </c>
      <c r="AG34">
        <f>if((E34="T"),Formulas!AG31,0)</f>
        <v>0</v>
      </c>
      <c r="AH34">
        <f t="shared" si="12"/>
        <v>0</v>
      </c>
      <c r="AI34" s="11">
        <f t="shared" si="13"/>
        <v>0</v>
      </c>
      <c r="AJ34">
        <f>if((E34="M.P."),Formulas!AG31,0)</f>
        <v>0</v>
      </c>
      <c r="AK34">
        <f t="shared" si="14"/>
        <v>0</v>
      </c>
      <c r="AL34" s="11">
        <f t="shared" si="15"/>
        <v>0</v>
      </c>
      <c r="AM34" s="11">
        <f t="shared" si="16"/>
        <v>0</v>
      </c>
      <c r="AN34">
        <f t="shared" si="23"/>
        <v>0</v>
      </c>
      <c r="AO34">
        <f t="shared" si="17"/>
        <v>0</v>
      </c>
      <c r="AP34">
        <f>if((AO34&gt;0),(AO34-Formulas!AM31),0)</f>
        <v>0</v>
      </c>
      <c r="AQ34">
        <f t="shared" si="24"/>
        <v>0</v>
      </c>
      <c r="AR34">
        <f t="shared" si="18"/>
        <v>0</v>
      </c>
      <c r="AS34">
        <f>if((AR34&gt;0),(AR34-Formulas!AM31),0)</f>
        <v>0</v>
      </c>
    </row>
    <row r="35">
      <c r="A35" s="34"/>
      <c r="B35" s="35"/>
      <c r="C35" s="35"/>
      <c r="D35" s="46"/>
      <c r="E35" s="37"/>
      <c r="F35" s="47"/>
      <c r="G35" s="47"/>
      <c r="H35" s="47"/>
      <c r="I35" s="47"/>
      <c r="J35" s="38"/>
      <c r="K35" s="45"/>
      <c r="L35" s="51"/>
      <c r="M35" s="51"/>
      <c r="N35" s="40">
        <f t="shared" ref="N35:O35" si="77">V35</f>
        <v>0</v>
      </c>
      <c r="O35" s="41">
        <f t="shared" si="77"/>
        <v>0</v>
      </c>
      <c r="P35" s="32">
        <f t="shared" si="4"/>
        <v>0</v>
      </c>
      <c r="Q35" s="40"/>
      <c r="R35" s="40"/>
      <c r="S35" s="40">
        <f>sum(Formulas!AI32*'Daily Time  Readings Log'!B35)</f>
        <v>0</v>
      </c>
      <c r="T35" s="41">
        <f>sum(Formulas!AJ32*'Daily Time  Readings Log'!B35)</f>
        <v>0</v>
      </c>
      <c r="U35" s="40">
        <f t="shared" si="5"/>
        <v>0</v>
      </c>
      <c r="V35" s="40">
        <f t="shared" ref="V35:W35" si="78">sum(S35+Y35)</f>
        <v>0</v>
      </c>
      <c r="W35" s="40">
        <f t="shared" si="78"/>
        <v>0</v>
      </c>
      <c r="X35" s="40">
        <f t="shared" si="7"/>
        <v>0</v>
      </c>
      <c r="Y35" s="40">
        <f>sum(Formulas!AI32*'Daily Time  Readings Log'!C35)</f>
        <v>0</v>
      </c>
      <c r="Z35" s="41">
        <f>sum(Formulas!AJ32*'Daily Time  Readings Log'!C35)</f>
        <v>0</v>
      </c>
      <c r="AA35" s="40">
        <f t="shared" si="8"/>
        <v>0</v>
      </c>
      <c r="AB35" s="40">
        <f t="shared" si="9"/>
        <v>0</v>
      </c>
      <c r="AC35" s="40">
        <f t="shared" si="10"/>
        <v>0</v>
      </c>
      <c r="AD35" s="40">
        <f t="shared" si="21"/>
        <v>0</v>
      </c>
      <c r="AE35" s="40">
        <f t="shared" si="22"/>
        <v>0</v>
      </c>
      <c r="AF35" s="40">
        <f t="shared" si="11"/>
        <v>0</v>
      </c>
      <c r="AG35">
        <f>if((E35="T"),Formulas!AG32,0)</f>
        <v>0</v>
      </c>
      <c r="AH35">
        <f t="shared" si="12"/>
        <v>0</v>
      </c>
      <c r="AI35" s="11">
        <f t="shared" si="13"/>
        <v>0</v>
      </c>
      <c r="AJ35">
        <f>if((E35="M.P."),Formulas!AG32,0)</f>
        <v>0</v>
      </c>
      <c r="AK35">
        <f t="shared" si="14"/>
        <v>0</v>
      </c>
      <c r="AL35" s="11">
        <f t="shared" si="15"/>
        <v>0</v>
      </c>
      <c r="AM35" s="11">
        <f t="shared" si="16"/>
        <v>0</v>
      </c>
      <c r="AN35">
        <f t="shared" si="23"/>
        <v>0</v>
      </c>
      <c r="AO35">
        <f t="shared" si="17"/>
        <v>0</v>
      </c>
      <c r="AP35">
        <f>if((AO35&gt;0),(AO35-Formulas!AM32),0)</f>
        <v>0</v>
      </c>
      <c r="AQ35">
        <f t="shared" si="24"/>
        <v>0</v>
      </c>
      <c r="AR35">
        <f t="shared" si="18"/>
        <v>0</v>
      </c>
      <c r="AS35">
        <f>if((AR35&gt;0),(AR35-Formulas!AM32),0)</f>
        <v>0</v>
      </c>
    </row>
    <row r="36">
      <c r="A36" s="27"/>
      <c r="B36" s="28"/>
      <c r="C36" s="28"/>
      <c r="D36" s="48"/>
      <c r="E36" s="29"/>
      <c r="F36" s="49"/>
      <c r="G36" s="49"/>
      <c r="H36" s="49"/>
      <c r="I36" s="49"/>
      <c r="J36" s="31"/>
      <c r="K36" s="44"/>
      <c r="L36" s="50"/>
      <c r="M36" s="50"/>
      <c r="N36" s="32">
        <f t="shared" ref="N36:O36" si="79">V36</f>
        <v>0</v>
      </c>
      <c r="O36" s="33">
        <f t="shared" si="79"/>
        <v>0</v>
      </c>
      <c r="P36" s="32">
        <f t="shared" si="4"/>
        <v>0</v>
      </c>
      <c r="Q36" s="32"/>
      <c r="R36" s="32"/>
      <c r="S36" s="32">
        <f>sum(Formulas!AI33*'Daily Time  Readings Log'!B36)</f>
        <v>0</v>
      </c>
      <c r="T36" s="33">
        <f>sum(Formulas!AJ33*'Daily Time  Readings Log'!B36)</f>
        <v>0</v>
      </c>
      <c r="U36" s="32">
        <f t="shared" si="5"/>
        <v>0</v>
      </c>
      <c r="V36" s="32">
        <f t="shared" ref="V36:W36" si="80">sum(S36+Y36)</f>
        <v>0</v>
      </c>
      <c r="W36" s="32">
        <f t="shared" si="80"/>
        <v>0</v>
      </c>
      <c r="X36" s="32">
        <f t="shared" si="7"/>
        <v>0</v>
      </c>
      <c r="Y36" s="32">
        <f>sum(Formulas!AI33*'Daily Time  Readings Log'!C36)</f>
        <v>0</v>
      </c>
      <c r="Z36" s="33">
        <f>sum(Formulas!AJ33*'Daily Time  Readings Log'!C36)</f>
        <v>0</v>
      </c>
      <c r="AA36" s="32">
        <f t="shared" si="8"/>
        <v>0</v>
      </c>
      <c r="AB36" s="32">
        <f t="shared" si="9"/>
        <v>0</v>
      </c>
      <c r="AC36" s="32">
        <f t="shared" si="10"/>
        <v>0</v>
      </c>
      <c r="AD36" s="32">
        <f t="shared" si="21"/>
        <v>0</v>
      </c>
      <c r="AE36" s="32">
        <f t="shared" si="22"/>
        <v>0</v>
      </c>
      <c r="AF36" s="32">
        <f t="shared" si="11"/>
        <v>0</v>
      </c>
      <c r="AG36">
        <f>if((E36="T"),Formulas!AG33,0)</f>
        <v>0</v>
      </c>
      <c r="AH36">
        <f t="shared" si="12"/>
        <v>0</v>
      </c>
      <c r="AI36" s="11">
        <f t="shared" si="13"/>
        <v>0</v>
      </c>
      <c r="AJ36">
        <f>if((E36="M.P."),Formulas!AG33,0)</f>
        <v>0</v>
      </c>
      <c r="AK36">
        <f t="shared" si="14"/>
        <v>0</v>
      </c>
      <c r="AL36" s="11">
        <f t="shared" si="15"/>
        <v>0</v>
      </c>
      <c r="AM36" s="11">
        <f t="shared" si="16"/>
        <v>0</v>
      </c>
      <c r="AN36">
        <f t="shared" si="23"/>
        <v>0</v>
      </c>
      <c r="AO36">
        <f t="shared" si="17"/>
        <v>0</v>
      </c>
      <c r="AP36">
        <f>if((AO36&gt;0),(AO36-Formulas!AM33),0)</f>
        <v>0</v>
      </c>
      <c r="AQ36">
        <f t="shared" si="24"/>
        <v>0</v>
      </c>
      <c r="AR36">
        <f t="shared" si="18"/>
        <v>0</v>
      </c>
      <c r="AS36">
        <f>if((AR36&gt;0),(AR36-Formulas!AM33),0)</f>
        <v>0</v>
      </c>
    </row>
    <row r="37">
      <c r="A37" s="34"/>
      <c r="B37" s="35"/>
      <c r="C37" s="35"/>
      <c r="D37" s="46"/>
      <c r="E37" s="37"/>
      <c r="F37" s="47"/>
      <c r="G37" s="47"/>
      <c r="H37" s="47"/>
      <c r="I37" s="47"/>
      <c r="J37" s="38"/>
      <c r="K37" s="45"/>
      <c r="L37" s="51"/>
      <c r="M37" s="51"/>
      <c r="N37" s="40">
        <f t="shared" ref="N37:O37" si="81">V37</f>
        <v>0</v>
      </c>
      <c r="O37" s="41">
        <f t="shared" si="81"/>
        <v>0</v>
      </c>
      <c r="P37" s="32">
        <f t="shared" si="4"/>
        <v>0</v>
      </c>
      <c r="Q37" s="40"/>
      <c r="R37" s="40"/>
      <c r="S37" s="40">
        <f>sum(Formulas!AI34*'Daily Time  Readings Log'!B37)</f>
        <v>0</v>
      </c>
      <c r="T37" s="41">
        <f>sum(Formulas!AJ34*'Daily Time  Readings Log'!B37)</f>
        <v>0</v>
      </c>
      <c r="U37" s="40">
        <f t="shared" si="5"/>
        <v>0</v>
      </c>
      <c r="V37" s="40">
        <f t="shared" ref="V37:W37" si="82">sum(S37+Y37)</f>
        <v>0</v>
      </c>
      <c r="W37" s="40">
        <f t="shared" si="82"/>
        <v>0</v>
      </c>
      <c r="X37" s="40">
        <f t="shared" si="7"/>
        <v>0</v>
      </c>
      <c r="Y37" s="40">
        <f>sum(Formulas!AI34*'Daily Time  Readings Log'!C37)</f>
        <v>0</v>
      </c>
      <c r="Z37" s="41">
        <f>sum(Formulas!AJ34*'Daily Time  Readings Log'!C37)</f>
        <v>0</v>
      </c>
      <c r="AA37" s="40">
        <f t="shared" si="8"/>
        <v>0</v>
      </c>
      <c r="AB37" s="40">
        <f t="shared" si="9"/>
        <v>0</v>
      </c>
      <c r="AC37" s="40">
        <f t="shared" si="10"/>
        <v>0</v>
      </c>
      <c r="AD37" s="40">
        <f t="shared" si="21"/>
        <v>0</v>
      </c>
      <c r="AE37" s="40">
        <f t="shared" si="22"/>
        <v>0</v>
      </c>
      <c r="AF37" s="40">
        <f t="shared" si="11"/>
        <v>0</v>
      </c>
      <c r="AG37">
        <f>if((E37="T"),Formulas!AG34,0)</f>
        <v>0</v>
      </c>
      <c r="AH37">
        <f t="shared" si="12"/>
        <v>0</v>
      </c>
      <c r="AI37" s="11">
        <f t="shared" si="13"/>
        <v>0</v>
      </c>
      <c r="AJ37">
        <f>if((E37="M.P."),Formulas!AG34,0)</f>
        <v>0</v>
      </c>
      <c r="AK37">
        <f t="shared" si="14"/>
        <v>0</v>
      </c>
      <c r="AL37" s="11">
        <f t="shared" si="15"/>
        <v>0</v>
      </c>
      <c r="AM37" s="11">
        <f t="shared" si="16"/>
        <v>0</v>
      </c>
      <c r="AN37">
        <f t="shared" si="23"/>
        <v>0</v>
      </c>
      <c r="AO37">
        <f t="shared" si="17"/>
        <v>0</v>
      </c>
      <c r="AP37">
        <f>if((AO37&gt;0),(AO37-Formulas!AM34),0)</f>
        <v>0</v>
      </c>
      <c r="AQ37">
        <f t="shared" si="24"/>
        <v>0</v>
      </c>
      <c r="AR37">
        <f t="shared" si="18"/>
        <v>0</v>
      </c>
      <c r="AS37">
        <f>if((AR37&gt;0),(AR37-Formulas!AM34),0)</f>
        <v>0</v>
      </c>
    </row>
    <row r="38">
      <c r="A38" s="27"/>
      <c r="B38" s="28"/>
      <c r="C38" s="28"/>
      <c r="D38" s="48"/>
      <c r="E38" s="29"/>
      <c r="F38" s="49"/>
      <c r="G38" s="49"/>
      <c r="H38" s="49"/>
      <c r="I38" s="49"/>
      <c r="J38" s="31"/>
      <c r="K38" s="44"/>
      <c r="L38" s="50"/>
      <c r="M38" s="50"/>
      <c r="N38" s="32">
        <f t="shared" ref="N38:O38" si="83">V38</f>
        <v>0</v>
      </c>
      <c r="O38" s="33">
        <f t="shared" si="83"/>
        <v>0</v>
      </c>
      <c r="P38" s="32">
        <f t="shared" si="4"/>
        <v>0</v>
      </c>
      <c r="Q38" s="32"/>
      <c r="R38" s="32"/>
      <c r="S38" s="32">
        <f>sum(Formulas!AI35*'Daily Time  Readings Log'!B38)</f>
        <v>0</v>
      </c>
      <c r="T38" s="33">
        <f>sum(Formulas!AJ35*'Daily Time  Readings Log'!B38)</f>
        <v>0</v>
      </c>
      <c r="U38" s="32">
        <f t="shared" si="5"/>
        <v>0</v>
      </c>
      <c r="V38" s="32">
        <f t="shared" ref="V38:W38" si="84">sum(S38+Y38)</f>
        <v>0</v>
      </c>
      <c r="W38" s="32">
        <f t="shared" si="84"/>
        <v>0</v>
      </c>
      <c r="X38" s="32">
        <f t="shared" si="7"/>
        <v>0</v>
      </c>
      <c r="Y38" s="32">
        <f>sum(Formulas!AI35*'Daily Time  Readings Log'!C38)</f>
        <v>0</v>
      </c>
      <c r="Z38" s="33">
        <f>sum(Formulas!AJ35*'Daily Time  Readings Log'!C38)</f>
        <v>0</v>
      </c>
      <c r="AA38" s="32">
        <f t="shared" si="8"/>
        <v>0</v>
      </c>
      <c r="AB38" s="32">
        <f t="shared" si="9"/>
        <v>0</v>
      </c>
      <c r="AC38" s="32">
        <f t="shared" si="10"/>
        <v>0</v>
      </c>
      <c r="AD38" s="32">
        <f t="shared" si="21"/>
        <v>0</v>
      </c>
      <c r="AE38" s="32">
        <f t="shared" si="22"/>
        <v>0</v>
      </c>
      <c r="AF38" s="32">
        <f t="shared" si="11"/>
        <v>0</v>
      </c>
      <c r="AG38">
        <f>if((E38="T"),Formulas!AG35,0)</f>
        <v>0</v>
      </c>
      <c r="AH38">
        <f t="shared" si="12"/>
        <v>0</v>
      </c>
      <c r="AI38" s="11">
        <f t="shared" si="13"/>
        <v>0</v>
      </c>
      <c r="AJ38">
        <f>if((E38="M.P."),Formulas!AG35,0)</f>
        <v>0</v>
      </c>
      <c r="AK38">
        <f t="shared" si="14"/>
        <v>0</v>
      </c>
      <c r="AL38" s="11">
        <f t="shared" si="15"/>
        <v>0</v>
      </c>
      <c r="AM38" s="11">
        <f t="shared" si="16"/>
        <v>0</v>
      </c>
      <c r="AN38">
        <f t="shared" si="23"/>
        <v>0</v>
      </c>
      <c r="AO38">
        <f t="shared" si="17"/>
        <v>0</v>
      </c>
      <c r="AP38">
        <f>if((AO38&gt;0),(AO38-Formulas!AM35),0)</f>
        <v>0</v>
      </c>
      <c r="AQ38">
        <f t="shared" si="24"/>
        <v>0</v>
      </c>
      <c r="AR38">
        <f t="shared" si="18"/>
        <v>0</v>
      </c>
      <c r="AS38">
        <f>if((AR38&gt;0),(AR38-Formulas!AM35),0)</f>
        <v>0</v>
      </c>
    </row>
    <row r="39">
      <c r="A39" s="34"/>
      <c r="B39" s="35"/>
      <c r="C39" s="35"/>
      <c r="D39" s="46"/>
      <c r="E39" s="37"/>
      <c r="F39" s="47"/>
      <c r="G39" s="47"/>
      <c r="H39" s="47"/>
      <c r="I39" s="47"/>
      <c r="J39" s="38"/>
      <c r="K39" s="45"/>
      <c r="L39" s="51"/>
      <c r="M39" s="51"/>
      <c r="N39" s="40">
        <f t="shared" ref="N39:O39" si="85">V39</f>
        <v>0</v>
      </c>
      <c r="O39" s="41">
        <f t="shared" si="85"/>
        <v>0</v>
      </c>
      <c r="P39" s="32">
        <f t="shared" si="4"/>
        <v>0</v>
      </c>
      <c r="Q39" s="40"/>
      <c r="R39" s="40"/>
      <c r="S39" s="40">
        <f>sum(Formulas!AI36*'Daily Time  Readings Log'!B39)</f>
        <v>0</v>
      </c>
      <c r="T39" s="41">
        <f>sum(Formulas!AJ36*'Daily Time  Readings Log'!B39)</f>
        <v>0</v>
      </c>
      <c r="U39" s="40">
        <f t="shared" si="5"/>
        <v>0</v>
      </c>
      <c r="V39" s="40">
        <f t="shared" ref="V39:W39" si="86">sum(S39+Y39)</f>
        <v>0</v>
      </c>
      <c r="W39" s="40">
        <f t="shared" si="86"/>
        <v>0</v>
      </c>
      <c r="X39" s="40">
        <f t="shared" si="7"/>
        <v>0</v>
      </c>
      <c r="Y39" s="40">
        <f>sum(Formulas!AI36*'Daily Time  Readings Log'!C39)</f>
        <v>0</v>
      </c>
      <c r="Z39" s="41">
        <f>sum(Formulas!AJ36*'Daily Time  Readings Log'!C39)</f>
        <v>0</v>
      </c>
      <c r="AA39" s="40">
        <f t="shared" si="8"/>
        <v>0</v>
      </c>
      <c r="AB39" s="40">
        <f t="shared" si="9"/>
        <v>0</v>
      </c>
      <c r="AC39" s="40">
        <f t="shared" si="10"/>
        <v>0</v>
      </c>
      <c r="AD39" s="40">
        <f t="shared" si="21"/>
        <v>0</v>
      </c>
      <c r="AE39" s="40">
        <f t="shared" si="22"/>
        <v>0</v>
      </c>
      <c r="AF39" s="40">
        <f t="shared" si="11"/>
        <v>0</v>
      </c>
      <c r="AG39">
        <f>if((E39="T"),Formulas!AG36,0)</f>
        <v>0</v>
      </c>
      <c r="AH39">
        <f t="shared" si="12"/>
        <v>0</v>
      </c>
      <c r="AI39" s="11">
        <f t="shared" si="13"/>
        <v>0</v>
      </c>
      <c r="AJ39">
        <f>if((E39="M.P."),Formulas!AG36,0)</f>
        <v>0</v>
      </c>
      <c r="AK39">
        <f t="shared" si="14"/>
        <v>0</v>
      </c>
      <c r="AL39" s="11">
        <f t="shared" si="15"/>
        <v>0</v>
      </c>
      <c r="AM39" s="11">
        <f t="shared" si="16"/>
        <v>0</v>
      </c>
      <c r="AN39">
        <f t="shared" si="23"/>
        <v>0</v>
      </c>
      <c r="AO39">
        <f t="shared" si="17"/>
        <v>0</v>
      </c>
      <c r="AP39">
        <f>if((AO39&gt;0),(AO39-Formulas!AM36),0)</f>
        <v>0</v>
      </c>
      <c r="AQ39">
        <f t="shared" si="24"/>
        <v>0</v>
      </c>
      <c r="AR39">
        <f t="shared" si="18"/>
        <v>0</v>
      </c>
      <c r="AS39">
        <f>if((AR39&gt;0),(AR39-Formulas!AM36),0)</f>
        <v>0</v>
      </c>
    </row>
    <row r="40">
      <c r="A40" s="27"/>
      <c r="B40" s="28"/>
      <c r="C40" s="28"/>
      <c r="D40" s="48"/>
      <c r="E40" s="29"/>
      <c r="F40" s="49"/>
      <c r="G40" s="49"/>
      <c r="H40" s="49"/>
      <c r="I40" s="49"/>
      <c r="J40" s="31"/>
      <c r="K40" s="44"/>
      <c r="L40" s="50"/>
      <c r="M40" s="50"/>
      <c r="N40" s="32">
        <f t="shared" ref="N40:O40" si="87">V40</f>
        <v>0</v>
      </c>
      <c r="O40" s="33">
        <f t="shared" si="87"/>
        <v>0</v>
      </c>
      <c r="P40" s="32">
        <f t="shared" si="4"/>
        <v>0</v>
      </c>
      <c r="Q40" s="32"/>
      <c r="R40" s="32"/>
      <c r="S40" s="32">
        <f>sum(Formulas!AI37*'Daily Time  Readings Log'!B40)</f>
        <v>0</v>
      </c>
      <c r="T40" s="33">
        <f>sum(Formulas!AJ37*'Daily Time  Readings Log'!B40)</f>
        <v>0</v>
      </c>
      <c r="U40" s="32">
        <f t="shared" si="5"/>
        <v>0</v>
      </c>
      <c r="V40" s="32">
        <f t="shared" ref="V40:W40" si="88">sum(S40+Y40)</f>
        <v>0</v>
      </c>
      <c r="W40" s="32">
        <f t="shared" si="88"/>
        <v>0</v>
      </c>
      <c r="X40" s="32">
        <f t="shared" si="7"/>
        <v>0</v>
      </c>
      <c r="Y40" s="32">
        <f>sum(Formulas!AI37*'Daily Time  Readings Log'!C40)</f>
        <v>0</v>
      </c>
      <c r="Z40" s="33">
        <f>sum(Formulas!AJ37*'Daily Time  Readings Log'!C40)</f>
        <v>0</v>
      </c>
      <c r="AA40" s="32">
        <f t="shared" si="8"/>
        <v>0</v>
      </c>
      <c r="AB40" s="32">
        <f t="shared" si="9"/>
        <v>0</v>
      </c>
      <c r="AC40" s="32">
        <f t="shared" si="10"/>
        <v>0</v>
      </c>
      <c r="AD40" s="32">
        <f t="shared" si="21"/>
        <v>0</v>
      </c>
      <c r="AE40" s="32">
        <f t="shared" si="22"/>
        <v>0</v>
      </c>
      <c r="AF40" s="32">
        <f t="shared" si="11"/>
        <v>0</v>
      </c>
      <c r="AG40">
        <f>if((E40="T"),Formulas!AG37,0)</f>
        <v>0</v>
      </c>
      <c r="AH40">
        <f t="shared" si="12"/>
        <v>0</v>
      </c>
      <c r="AI40" s="11">
        <f t="shared" si="13"/>
        <v>0</v>
      </c>
      <c r="AJ40">
        <f>if((E40="M.P."),Formulas!AG37,0)</f>
        <v>0</v>
      </c>
      <c r="AK40">
        <f t="shared" si="14"/>
        <v>0</v>
      </c>
      <c r="AL40" s="11">
        <f t="shared" si="15"/>
        <v>0</v>
      </c>
      <c r="AM40" s="11">
        <f t="shared" si="16"/>
        <v>0</v>
      </c>
      <c r="AN40">
        <f t="shared" si="23"/>
        <v>0</v>
      </c>
      <c r="AO40">
        <f t="shared" si="17"/>
        <v>0</v>
      </c>
      <c r="AP40">
        <f>if((AO40&gt;0),(AO40-Formulas!AM37),0)</f>
        <v>0</v>
      </c>
      <c r="AQ40">
        <f t="shared" si="24"/>
        <v>0</v>
      </c>
      <c r="AR40">
        <f t="shared" si="18"/>
        <v>0</v>
      </c>
      <c r="AS40">
        <f>if((AR40&gt;0),(AR40-Formulas!AM37),0)</f>
        <v>0</v>
      </c>
    </row>
    <row r="41">
      <c r="A41" s="5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53"/>
      <c r="Q41" s="54"/>
      <c r="R41" s="54"/>
      <c r="S41" s="55">
        <f t="shared" ref="S41:AS41" si="89">sum(S6:S40)</f>
        <v>0</v>
      </c>
      <c r="T41" s="55">
        <f t="shared" si="89"/>
        <v>0</v>
      </c>
      <c r="U41" s="55">
        <f t="shared" si="89"/>
        <v>0</v>
      </c>
      <c r="V41" s="55">
        <f t="shared" si="89"/>
        <v>0</v>
      </c>
      <c r="W41" s="55">
        <f t="shared" si="89"/>
        <v>0</v>
      </c>
      <c r="X41" s="55">
        <f t="shared" si="89"/>
        <v>0</v>
      </c>
      <c r="Y41" s="55">
        <f t="shared" si="89"/>
        <v>0</v>
      </c>
      <c r="Z41" s="55">
        <f t="shared" si="89"/>
        <v>0</v>
      </c>
      <c r="AA41" s="55">
        <f t="shared" si="89"/>
        <v>0</v>
      </c>
      <c r="AB41" s="55">
        <f t="shared" si="89"/>
        <v>0</v>
      </c>
      <c r="AC41" s="55">
        <f t="shared" si="89"/>
        <v>0</v>
      </c>
      <c r="AD41" s="55">
        <f t="shared" si="89"/>
        <v>0</v>
      </c>
      <c r="AE41" s="55">
        <f t="shared" si="89"/>
        <v>0</v>
      </c>
      <c r="AF41" s="55">
        <f t="shared" si="89"/>
        <v>0</v>
      </c>
      <c r="AG41" s="54">
        <f t="shared" si="89"/>
        <v>0</v>
      </c>
      <c r="AH41" s="54">
        <f t="shared" si="89"/>
        <v>0</v>
      </c>
      <c r="AI41" s="54">
        <f t="shared" si="89"/>
        <v>0</v>
      </c>
      <c r="AJ41" s="54">
        <f t="shared" si="89"/>
        <v>0</v>
      </c>
      <c r="AK41" s="54">
        <f t="shared" si="89"/>
        <v>0</v>
      </c>
      <c r="AL41" s="54">
        <f t="shared" si="89"/>
        <v>0</v>
      </c>
      <c r="AM41" s="54">
        <f t="shared" si="89"/>
        <v>0</v>
      </c>
      <c r="AN41" s="54">
        <f t="shared" si="89"/>
        <v>0</v>
      </c>
      <c r="AO41" s="54">
        <f t="shared" si="89"/>
        <v>0</v>
      </c>
      <c r="AP41" s="54">
        <f t="shared" si="89"/>
        <v>0</v>
      </c>
      <c r="AQ41" s="54">
        <f t="shared" si="89"/>
        <v>0</v>
      </c>
      <c r="AR41" s="54">
        <f t="shared" si="89"/>
        <v>0</v>
      </c>
      <c r="AS41" s="54">
        <f t="shared" si="89"/>
        <v>0</v>
      </c>
    </row>
    <row r="42">
      <c r="O42" s="56"/>
      <c r="AI42" s="11"/>
      <c r="AM42" s="11"/>
    </row>
    <row r="43">
      <c r="A43" s="57" t="s">
        <v>61</v>
      </c>
      <c r="E43" s="58">
        <f>IFERROR(__xludf.DUMMYFUNCTION("COUNTUNIQUE(A6:A40,A6:A40)"),0.0)</f>
        <v>0</v>
      </c>
      <c r="J43" s="59" t="s">
        <v>62</v>
      </c>
      <c r="O43" s="60">
        <f>sum(S41-AI41-AM41-AP41-AS41)</f>
        <v>0</v>
      </c>
      <c r="P43" s="61"/>
      <c r="AI43" s="11"/>
      <c r="AM43" s="11"/>
    </row>
    <row r="44">
      <c r="A44" s="62" t="s">
        <v>63</v>
      </c>
      <c r="B44" s="63"/>
      <c r="C44" s="63"/>
      <c r="D44" s="63"/>
      <c r="E44" s="64" t="str">
        <f>if(E43&gt;2,E43-2,"0")</f>
        <v>0</v>
      </c>
      <c r="F44" s="63"/>
      <c r="G44" s="63"/>
      <c r="H44" s="63"/>
      <c r="I44" s="63"/>
      <c r="J44" s="65" t="s">
        <v>64</v>
      </c>
      <c r="K44" s="63"/>
      <c r="L44" s="63"/>
      <c r="M44" s="63"/>
      <c r="N44" s="63"/>
      <c r="O44" s="66">
        <f>sum(T41)</f>
        <v>0</v>
      </c>
      <c r="P44" s="61"/>
      <c r="AI44" s="11"/>
      <c r="AM44" s="11"/>
    </row>
    <row r="45">
      <c r="AI45" s="11"/>
      <c r="AM45" s="11"/>
    </row>
    <row r="46">
      <c r="AI46" s="11"/>
      <c r="AM46" s="11"/>
    </row>
    <row r="47">
      <c r="AI47" s="11"/>
      <c r="AM47" s="11"/>
    </row>
    <row r="48">
      <c r="AI48" s="11"/>
      <c r="AM48" s="11"/>
    </row>
    <row r="49">
      <c r="AI49" s="11"/>
      <c r="AM49" s="11"/>
    </row>
    <row r="50">
      <c r="AI50" s="11"/>
      <c r="AM50" s="11"/>
    </row>
    <row r="51">
      <c r="AI51" s="11"/>
      <c r="AM51" s="11"/>
    </row>
    <row r="52">
      <c r="AI52" s="11"/>
      <c r="AM52" s="11"/>
    </row>
    <row r="53">
      <c r="AI53" s="11"/>
      <c r="AM53" s="11"/>
    </row>
    <row r="54">
      <c r="AI54" s="11"/>
      <c r="AM54" s="11"/>
    </row>
    <row r="55">
      <c r="AI55" s="11"/>
      <c r="AM55" s="11"/>
    </row>
    <row r="56">
      <c r="AI56" s="11"/>
      <c r="AM56" s="11"/>
    </row>
    <row r="57">
      <c r="AI57" s="11"/>
      <c r="AM57" s="11"/>
    </row>
    <row r="58">
      <c r="AI58" s="11"/>
      <c r="AM58" s="11"/>
    </row>
    <row r="59">
      <c r="AI59" s="11"/>
      <c r="AM59" s="11"/>
    </row>
    <row r="60">
      <c r="AI60" s="11"/>
      <c r="AM60" s="11"/>
    </row>
    <row r="61">
      <c r="AI61" s="11"/>
      <c r="AM61" s="11"/>
    </row>
    <row r="62">
      <c r="AI62" s="11"/>
      <c r="AM62" s="11"/>
    </row>
    <row r="63">
      <c r="AI63" s="11"/>
      <c r="AM63" s="11"/>
    </row>
    <row r="64">
      <c r="AI64" s="11"/>
      <c r="AM64" s="11"/>
    </row>
    <row r="65">
      <c r="AI65" s="11"/>
      <c r="AM65" s="11"/>
    </row>
    <row r="66">
      <c r="AI66" s="11"/>
      <c r="AM66" s="11"/>
    </row>
    <row r="67">
      <c r="AI67" s="11"/>
      <c r="AM67" s="11"/>
    </row>
    <row r="68">
      <c r="AI68" s="11"/>
      <c r="AM68" s="11"/>
    </row>
    <row r="69">
      <c r="AI69" s="11"/>
      <c r="AM69" s="11"/>
    </row>
    <row r="70">
      <c r="AI70" s="11"/>
      <c r="AM70" s="11"/>
    </row>
    <row r="71">
      <c r="AI71" s="11"/>
      <c r="AM71" s="11"/>
    </row>
    <row r="72">
      <c r="AI72" s="11"/>
      <c r="AM72" s="11"/>
    </row>
    <row r="73">
      <c r="AI73" s="11"/>
      <c r="AM73" s="11"/>
    </row>
    <row r="74">
      <c r="AI74" s="11"/>
      <c r="AM74" s="11"/>
    </row>
    <row r="75">
      <c r="AI75" s="11"/>
      <c r="AM75" s="11"/>
    </row>
    <row r="76">
      <c r="AI76" s="11"/>
      <c r="AM76" s="11"/>
    </row>
    <row r="77">
      <c r="AI77" s="11"/>
      <c r="AM77" s="11"/>
    </row>
    <row r="78">
      <c r="AI78" s="11"/>
      <c r="AM78" s="11"/>
    </row>
    <row r="79">
      <c r="AI79" s="11"/>
      <c r="AM79" s="11"/>
    </row>
    <row r="80">
      <c r="AI80" s="11"/>
      <c r="AM80" s="11"/>
    </row>
    <row r="81">
      <c r="AI81" s="11"/>
      <c r="AM81" s="11"/>
    </row>
    <row r="82">
      <c r="AI82" s="11"/>
      <c r="AM82" s="11"/>
    </row>
    <row r="83">
      <c r="AI83" s="11"/>
      <c r="AM83" s="11"/>
    </row>
    <row r="84">
      <c r="AI84" s="11"/>
      <c r="AM84" s="11"/>
    </row>
    <row r="85">
      <c r="AI85" s="11"/>
      <c r="AM85" s="11"/>
    </row>
    <row r="86">
      <c r="AI86" s="11"/>
      <c r="AM86" s="11"/>
    </row>
    <row r="87">
      <c r="AI87" s="11"/>
      <c r="AM87" s="11"/>
    </row>
    <row r="88">
      <c r="AI88" s="11"/>
      <c r="AM88" s="11"/>
    </row>
    <row r="89">
      <c r="AI89" s="11"/>
      <c r="AM89" s="11"/>
    </row>
    <row r="90">
      <c r="AI90" s="11"/>
      <c r="AM90" s="11"/>
    </row>
    <row r="91">
      <c r="AI91" s="11"/>
      <c r="AM91" s="11"/>
    </row>
    <row r="92">
      <c r="AI92" s="11"/>
      <c r="AM92" s="11"/>
    </row>
    <row r="93">
      <c r="AI93" s="11"/>
      <c r="AM93" s="11"/>
    </row>
    <row r="94">
      <c r="AI94" s="11"/>
      <c r="AM94" s="11"/>
    </row>
    <row r="95">
      <c r="AI95" s="11"/>
      <c r="AM95" s="11"/>
    </row>
    <row r="96">
      <c r="AI96" s="11"/>
      <c r="AM96" s="11"/>
    </row>
    <row r="97">
      <c r="AI97" s="11"/>
      <c r="AM97" s="11"/>
    </row>
    <row r="98">
      <c r="AI98" s="11"/>
      <c r="AM98" s="11"/>
    </row>
    <row r="99">
      <c r="AI99" s="11"/>
      <c r="AM99" s="11"/>
    </row>
    <row r="100">
      <c r="AI100" s="11"/>
      <c r="AM100" s="11"/>
    </row>
    <row r="101">
      <c r="AI101" s="11"/>
      <c r="AM101" s="11"/>
    </row>
    <row r="102">
      <c r="AI102" s="11"/>
      <c r="AM102" s="11"/>
    </row>
    <row r="103">
      <c r="AI103" s="11"/>
      <c r="AM103" s="11"/>
    </row>
    <row r="104">
      <c r="AI104" s="11"/>
      <c r="AM104" s="11"/>
    </row>
    <row r="105">
      <c r="AI105" s="11"/>
      <c r="AM105" s="11"/>
    </row>
    <row r="106">
      <c r="AI106" s="11"/>
      <c r="AM106" s="11"/>
    </row>
    <row r="107">
      <c r="AI107" s="11"/>
      <c r="AM107" s="11"/>
    </row>
    <row r="108">
      <c r="AI108" s="11"/>
      <c r="AM108" s="11"/>
    </row>
    <row r="109">
      <c r="AI109" s="11"/>
      <c r="AM109" s="11"/>
    </row>
    <row r="110">
      <c r="AI110" s="11"/>
      <c r="AM110" s="11"/>
    </row>
    <row r="111">
      <c r="AI111" s="11"/>
      <c r="AM111" s="11"/>
    </row>
    <row r="112">
      <c r="AI112" s="11"/>
      <c r="AM112" s="11"/>
    </row>
    <row r="113">
      <c r="AI113" s="11"/>
      <c r="AM113" s="11"/>
    </row>
    <row r="114">
      <c r="AI114" s="11"/>
      <c r="AM114" s="11"/>
    </row>
    <row r="115">
      <c r="AI115" s="11"/>
      <c r="AM115" s="11"/>
    </row>
    <row r="116">
      <c r="AI116" s="11"/>
      <c r="AM116" s="11"/>
    </row>
    <row r="117">
      <c r="AI117" s="11"/>
      <c r="AM117" s="11"/>
    </row>
    <row r="118">
      <c r="AI118" s="11"/>
      <c r="AM118" s="11"/>
    </row>
    <row r="119">
      <c r="AI119" s="11"/>
      <c r="AM119" s="11"/>
    </row>
    <row r="120">
      <c r="AI120" s="11"/>
      <c r="AM120" s="11"/>
    </row>
    <row r="121">
      <c r="AI121" s="11"/>
      <c r="AM121" s="11"/>
    </row>
    <row r="122">
      <c r="AI122" s="11"/>
      <c r="AM122" s="11"/>
    </row>
    <row r="123">
      <c r="AI123" s="11"/>
      <c r="AM123" s="11"/>
    </row>
    <row r="124">
      <c r="AI124" s="11"/>
      <c r="AM124" s="11"/>
    </row>
    <row r="125">
      <c r="AI125" s="11"/>
      <c r="AM125" s="11"/>
    </row>
    <row r="126">
      <c r="AI126" s="11"/>
      <c r="AM126" s="11"/>
    </row>
    <row r="127">
      <c r="AI127" s="11"/>
      <c r="AM127" s="11"/>
    </row>
    <row r="128">
      <c r="AI128" s="11"/>
      <c r="AM128" s="11"/>
    </row>
    <row r="129">
      <c r="AI129" s="11"/>
      <c r="AM129" s="11"/>
    </row>
    <row r="130">
      <c r="AI130" s="11"/>
      <c r="AM130" s="11"/>
    </row>
    <row r="131">
      <c r="AI131" s="11"/>
      <c r="AM131" s="11"/>
    </row>
    <row r="132">
      <c r="AI132" s="11"/>
      <c r="AM132" s="11"/>
    </row>
    <row r="133">
      <c r="AI133" s="11"/>
      <c r="AM133" s="11"/>
    </row>
    <row r="134">
      <c r="AI134" s="11"/>
      <c r="AM134" s="11"/>
    </row>
    <row r="135">
      <c r="AI135" s="11"/>
      <c r="AM135" s="11"/>
    </row>
    <row r="136">
      <c r="AI136" s="11"/>
      <c r="AM136" s="11"/>
    </row>
    <row r="137">
      <c r="AI137" s="11"/>
      <c r="AM137" s="11"/>
    </row>
    <row r="138">
      <c r="AI138" s="11"/>
      <c r="AM138" s="11"/>
    </row>
    <row r="139">
      <c r="AI139" s="11"/>
      <c r="AM139" s="11"/>
    </row>
    <row r="140">
      <c r="AI140" s="11"/>
      <c r="AM140" s="11"/>
    </row>
    <row r="141">
      <c r="AI141" s="11"/>
      <c r="AM141" s="11"/>
    </row>
    <row r="142">
      <c r="AI142" s="11"/>
      <c r="AM142" s="11"/>
    </row>
    <row r="143">
      <c r="AI143" s="11"/>
      <c r="AM143" s="11"/>
    </row>
    <row r="144">
      <c r="AI144" s="11"/>
      <c r="AM144" s="11"/>
    </row>
    <row r="145">
      <c r="AI145" s="11"/>
      <c r="AM145" s="11"/>
    </row>
    <row r="146">
      <c r="AI146" s="11"/>
      <c r="AM146" s="11"/>
    </row>
    <row r="147">
      <c r="AI147" s="11"/>
      <c r="AM147" s="11"/>
    </row>
    <row r="148">
      <c r="AI148" s="11"/>
      <c r="AM148" s="11"/>
    </row>
    <row r="149">
      <c r="AI149" s="11"/>
      <c r="AM149" s="11"/>
    </row>
    <row r="150">
      <c r="AI150" s="11"/>
      <c r="AM150" s="11"/>
    </row>
    <row r="151">
      <c r="AI151" s="11"/>
      <c r="AM151" s="11"/>
    </row>
    <row r="152">
      <c r="AI152" s="11"/>
      <c r="AM152" s="11"/>
    </row>
    <row r="153">
      <c r="AI153" s="11"/>
      <c r="AM153" s="11"/>
    </row>
    <row r="154">
      <c r="AI154" s="11"/>
      <c r="AM154" s="11"/>
    </row>
    <row r="155">
      <c r="AI155" s="11"/>
      <c r="AM155" s="11"/>
    </row>
    <row r="156">
      <c r="AI156" s="11"/>
      <c r="AM156" s="11"/>
    </row>
    <row r="157">
      <c r="AI157" s="11"/>
      <c r="AM157" s="11"/>
    </row>
    <row r="158">
      <c r="AI158" s="11"/>
      <c r="AM158" s="11"/>
    </row>
    <row r="159">
      <c r="AI159" s="11"/>
      <c r="AM159" s="11"/>
    </row>
    <row r="160">
      <c r="AI160" s="11"/>
      <c r="AM160" s="11"/>
    </row>
    <row r="161">
      <c r="AI161" s="11"/>
      <c r="AM161" s="11"/>
    </row>
    <row r="162">
      <c r="AI162" s="11"/>
      <c r="AM162" s="11"/>
    </row>
    <row r="163">
      <c r="AI163" s="11"/>
      <c r="AM163" s="11"/>
    </row>
    <row r="164">
      <c r="AI164" s="11"/>
      <c r="AM164" s="11"/>
    </row>
    <row r="165">
      <c r="AI165" s="11"/>
      <c r="AM165" s="11"/>
    </row>
    <row r="166">
      <c r="AI166" s="11"/>
      <c r="AM166" s="11"/>
    </row>
    <row r="167">
      <c r="AI167" s="11"/>
      <c r="AM167" s="11"/>
    </row>
    <row r="168">
      <c r="AI168" s="11"/>
      <c r="AM168" s="11"/>
    </row>
    <row r="169">
      <c r="AI169" s="11"/>
      <c r="AM169" s="11"/>
    </row>
    <row r="170">
      <c r="AI170" s="11"/>
      <c r="AM170" s="11"/>
    </row>
    <row r="171">
      <c r="AI171" s="11"/>
      <c r="AM171" s="11"/>
    </row>
    <row r="172">
      <c r="AI172" s="11"/>
      <c r="AM172" s="11"/>
    </row>
    <row r="173">
      <c r="AI173" s="11"/>
      <c r="AM173" s="11"/>
    </row>
    <row r="174">
      <c r="AI174" s="11"/>
      <c r="AM174" s="11"/>
    </row>
    <row r="175">
      <c r="AI175" s="11"/>
      <c r="AM175" s="11"/>
    </row>
    <row r="176">
      <c r="AI176" s="11"/>
      <c r="AM176" s="11"/>
    </row>
    <row r="177">
      <c r="AI177" s="11"/>
      <c r="AM177" s="11"/>
    </row>
    <row r="178">
      <c r="AI178" s="11"/>
      <c r="AM178" s="11"/>
    </row>
    <row r="179">
      <c r="AI179" s="11"/>
      <c r="AM179" s="11"/>
    </row>
    <row r="180">
      <c r="AI180" s="11"/>
      <c r="AM180" s="11"/>
    </row>
    <row r="181">
      <c r="AI181" s="11"/>
      <c r="AM181" s="11"/>
    </row>
    <row r="182">
      <c r="AI182" s="11"/>
      <c r="AM182" s="11"/>
    </row>
    <row r="183">
      <c r="AI183" s="11"/>
      <c r="AM183" s="11"/>
    </row>
    <row r="184">
      <c r="AI184" s="11"/>
      <c r="AM184" s="11"/>
    </row>
    <row r="185">
      <c r="AI185" s="11"/>
      <c r="AM185" s="11"/>
    </row>
    <row r="186">
      <c r="AI186" s="11"/>
      <c r="AM186" s="11"/>
    </row>
    <row r="187">
      <c r="AI187" s="11"/>
      <c r="AM187" s="11"/>
    </row>
    <row r="188">
      <c r="AI188" s="11"/>
      <c r="AM188" s="11"/>
    </row>
    <row r="189">
      <c r="AI189" s="11"/>
      <c r="AM189" s="11"/>
    </row>
    <row r="190">
      <c r="AI190" s="11"/>
      <c r="AM190" s="11"/>
    </row>
    <row r="191">
      <c r="AI191" s="11"/>
      <c r="AM191" s="11"/>
    </row>
    <row r="192">
      <c r="AI192" s="11"/>
      <c r="AM192" s="11"/>
    </row>
    <row r="193">
      <c r="AI193" s="11"/>
      <c r="AM193" s="11"/>
    </row>
    <row r="194">
      <c r="AI194" s="11"/>
      <c r="AM194" s="11"/>
    </row>
    <row r="195">
      <c r="AI195" s="11"/>
      <c r="AM195" s="11"/>
    </row>
    <row r="196">
      <c r="AI196" s="11"/>
      <c r="AM196" s="11"/>
    </row>
    <row r="197">
      <c r="AI197" s="11"/>
      <c r="AM197" s="11"/>
    </row>
    <row r="198">
      <c r="AI198" s="11"/>
      <c r="AM198" s="11"/>
    </row>
    <row r="199">
      <c r="AI199" s="11"/>
      <c r="AM199" s="11"/>
    </row>
    <row r="200">
      <c r="AI200" s="11"/>
      <c r="AM200" s="11"/>
    </row>
    <row r="201">
      <c r="AI201" s="11"/>
      <c r="AM201" s="11"/>
    </row>
    <row r="202">
      <c r="AI202" s="11"/>
      <c r="AM202" s="11"/>
    </row>
    <row r="203">
      <c r="AI203" s="11"/>
      <c r="AM203" s="11"/>
    </row>
    <row r="204">
      <c r="AI204" s="11"/>
      <c r="AM204" s="11"/>
    </row>
    <row r="205">
      <c r="AI205" s="11"/>
      <c r="AM205" s="11"/>
    </row>
    <row r="206">
      <c r="AI206" s="11"/>
      <c r="AM206" s="11"/>
    </row>
    <row r="207">
      <c r="AI207" s="11"/>
      <c r="AM207" s="11"/>
    </row>
    <row r="208">
      <c r="AI208" s="11"/>
      <c r="AM208" s="11"/>
    </row>
    <row r="209">
      <c r="AI209" s="11"/>
      <c r="AM209" s="11"/>
    </row>
    <row r="210">
      <c r="AI210" s="11"/>
      <c r="AM210" s="11"/>
    </row>
    <row r="211">
      <c r="AI211" s="11"/>
      <c r="AM211" s="11"/>
    </row>
    <row r="212">
      <c r="AI212" s="11"/>
      <c r="AM212" s="11"/>
    </row>
    <row r="213">
      <c r="AI213" s="11"/>
      <c r="AM213" s="11"/>
    </row>
    <row r="214">
      <c r="AI214" s="11"/>
      <c r="AM214" s="11"/>
    </row>
    <row r="215">
      <c r="AI215" s="11"/>
      <c r="AM215" s="11"/>
    </row>
    <row r="216">
      <c r="AI216" s="11"/>
      <c r="AM216" s="11"/>
    </row>
    <row r="217">
      <c r="AI217" s="11"/>
      <c r="AM217" s="11"/>
    </row>
    <row r="218">
      <c r="AI218" s="11"/>
      <c r="AM218" s="11"/>
    </row>
    <row r="219">
      <c r="AI219" s="11"/>
      <c r="AM219" s="11"/>
    </row>
    <row r="220">
      <c r="AI220" s="11"/>
      <c r="AM220" s="11"/>
    </row>
    <row r="221">
      <c r="AI221" s="11"/>
      <c r="AM221" s="11"/>
    </row>
    <row r="222">
      <c r="AI222" s="11"/>
      <c r="AM222" s="11"/>
    </row>
    <row r="223">
      <c r="AI223" s="11"/>
      <c r="AM223" s="11"/>
    </row>
    <row r="224">
      <c r="AI224" s="11"/>
      <c r="AM224" s="11"/>
    </row>
    <row r="225">
      <c r="AI225" s="11"/>
      <c r="AM225" s="11"/>
    </row>
    <row r="226">
      <c r="AI226" s="11"/>
      <c r="AM226" s="11"/>
    </row>
    <row r="227">
      <c r="AI227" s="11"/>
      <c r="AM227" s="11"/>
    </row>
    <row r="228">
      <c r="AI228" s="11"/>
      <c r="AM228" s="11"/>
    </row>
    <row r="229">
      <c r="AI229" s="11"/>
      <c r="AM229" s="11"/>
    </row>
    <row r="230">
      <c r="AI230" s="11"/>
      <c r="AM230" s="11"/>
    </row>
    <row r="231">
      <c r="AI231" s="11"/>
      <c r="AM231" s="11"/>
    </row>
    <row r="232">
      <c r="AI232" s="11"/>
      <c r="AM232" s="11"/>
    </row>
    <row r="233">
      <c r="AI233" s="11"/>
      <c r="AM233" s="11"/>
    </row>
    <row r="234">
      <c r="AI234" s="11"/>
      <c r="AM234" s="11"/>
    </row>
    <row r="235">
      <c r="AI235" s="11"/>
      <c r="AM235" s="11"/>
    </row>
    <row r="236">
      <c r="AI236" s="11"/>
      <c r="AM236" s="11"/>
    </row>
    <row r="237">
      <c r="AI237" s="11"/>
      <c r="AM237" s="11"/>
    </row>
    <row r="238">
      <c r="AI238" s="11"/>
      <c r="AM238" s="11"/>
    </row>
    <row r="239">
      <c r="AI239" s="11"/>
      <c r="AM239" s="11"/>
    </row>
    <row r="240">
      <c r="AI240" s="11"/>
      <c r="AM240" s="11"/>
    </row>
    <row r="241">
      <c r="AI241" s="11"/>
      <c r="AM241" s="11"/>
    </row>
    <row r="242">
      <c r="AI242" s="11"/>
      <c r="AM242" s="11"/>
    </row>
    <row r="243">
      <c r="AI243" s="11"/>
      <c r="AM243" s="11"/>
    </row>
    <row r="244">
      <c r="AI244" s="11"/>
      <c r="AM244" s="11"/>
    </row>
    <row r="245">
      <c r="AI245" s="11"/>
      <c r="AM245" s="11"/>
    </row>
    <row r="246">
      <c r="AI246" s="11"/>
      <c r="AM246" s="11"/>
    </row>
    <row r="247">
      <c r="AI247" s="11"/>
      <c r="AM247" s="11"/>
    </row>
    <row r="248">
      <c r="AI248" s="11"/>
      <c r="AM248" s="11"/>
    </row>
    <row r="249">
      <c r="AI249" s="11"/>
      <c r="AM249" s="11"/>
    </row>
    <row r="250">
      <c r="AI250" s="11"/>
      <c r="AM250" s="11"/>
    </row>
    <row r="251">
      <c r="AI251" s="11"/>
      <c r="AM251" s="11"/>
    </row>
    <row r="252">
      <c r="AI252" s="11"/>
      <c r="AM252" s="11"/>
    </row>
    <row r="253">
      <c r="AI253" s="11"/>
      <c r="AM253" s="11"/>
    </row>
    <row r="254">
      <c r="AI254" s="11"/>
      <c r="AM254" s="11"/>
    </row>
    <row r="255">
      <c r="AI255" s="11"/>
      <c r="AM255" s="11"/>
    </row>
    <row r="256">
      <c r="AI256" s="11"/>
      <c r="AM256" s="11"/>
    </row>
    <row r="257">
      <c r="AI257" s="11"/>
      <c r="AM257" s="11"/>
    </row>
    <row r="258">
      <c r="AI258" s="11"/>
      <c r="AM258" s="11"/>
    </row>
    <row r="259">
      <c r="AI259" s="11"/>
      <c r="AM259" s="11"/>
    </row>
    <row r="260">
      <c r="AI260" s="11"/>
      <c r="AM260" s="11"/>
    </row>
    <row r="261">
      <c r="AI261" s="11"/>
      <c r="AM261" s="11"/>
    </row>
    <row r="262">
      <c r="AI262" s="11"/>
      <c r="AM262" s="11"/>
    </row>
    <row r="263">
      <c r="AI263" s="11"/>
      <c r="AM263" s="11"/>
    </row>
    <row r="264">
      <c r="AI264" s="11"/>
      <c r="AM264" s="11"/>
    </row>
    <row r="265">
      <c r="AI265" s="11"/>
      <c r="AM265" s="11"/>
    </row>
    <row r="266">
      <c r="AI266" s="11"/>
      <c r="AM266" s="11"/>
    </row>
    <row r="267">
      <c r="AI267" s="11"/>
      <c r="AM267" s="11"/>
    </row>
    <row r="268">
      <c r="AI268" s="11"/>
      <c r="AM268" s="11"/>
    </row>
    <row r="269">
      <c r="AI269" s="11"/>
      <c r="AM269" s="11"/>
    </row>
    <row r="270">
      <c r="AI270" s="11"/>
      <c r="AM270" s="11"/>
    </row>
    <row r="271">
      <c r="AI271" s="11"/>
      <c r="AM271" s="11"/>
    </row>
    <row r="272">
      <c r="AI272" s="11"/>
      <c r="AM272" s="11"/>
    </row>
    <row r="273">
      <c r="AI273" s="11"/>
      <c r="AM273" s="11"/>
    </row>
    <row r="274">
      <c r="AI274" s="11"/>
      <c r="AM274" s="11"/>
    </row>
    <row r="275">
      <c r="AI275" s="11"/>
      <c r="AM275" s="11"/>
    </row>
    <row r="276">
      <c r="AI276" s="11"/>
      <c r="AM276" s="11"/>
    </row>
    <row r="277">
      <c r="AI277" s="11"/>
      <c r="AM277" s="11"/>
    </row>
    <row r="278">
      <c r="AI278" s="11"/>
      <c r="AM278" s="11"/>
    </row>
    <row r="279">
      <c r="AI279" s="11"/>
      <c r="AM279" s="11"/>
    </row>
    <row r="280">
      <c r="AI280" s="11"/>
      <c r="AM280" s="11"/>
    </row>
    <row r="281">
      <c r="AI281" s="11"/>
      <c r="AM281" s="11"/>
    </row>
    <row r="282">
      <c r="AI282" s="11"/>
      <c r="AM282" s="11"/>
    </row>
    <row r="283">
      <c r="AI283" s="11"/>
      <c r="AM283" s="11"/>
    </row>
    <row r="284">
      <c r="AI284" s="11"/>
      <c r="AM284" s="11"/>
    </row>
    <row r="285">
      <c r="AI285" s="11"/>
      <c r="AM285" s="11"/>
    </row>
    <row r="286">
      <c r="AI286" s="11"/>
      <c r="AM286" s="11"/>
    </row>
    <row r="287">
      <c r="AI287" s="11"/>
      <c r="AM287" s="11"/>
    </row>
    <row r="288">
      <c r="AI288" s="11"/>
      <c r="AM288" s="11"/>
    </row>
    <row r="289">
      <c r="AI289" s="11"/>
      <c r="AM289" s="11"/>
    </row>
    <row r="290">
      <c r="AI290" s="11"/>
      <c r="AM290" s="11"/>
    </row>
    <row r="291">
      <c r="AI291" s="11"/>
      <c r="AM291" s="11"/>
    </row>
    <row r="292">
      <c r="AI292" s="11"/>
      <c r="AM292" s="11"/>
    </row>
    <row r="293">
      <c r="AI293" s="11"/>
      <c r="AM293" s="11"/>
    </row>
    <row r="294">
      <c r="AI294" s="11"/>
      <c r="AM294" s="11"/>
    </row>
    <row r="295">
      <c r="AI295" s="11"/>
      <c r="AM295" s="11"/>
    </row>
    <row r="296">
      <c r="AI296" s="11"/>
      <c r="AM296" s="11"/>
    </row>
    <row r="297">
      <c r="AI297" s="11"/>
      <c r="AM297" s="11"/>
    </row>
    <row r="298">
      <c r="AI298" s="11"/>
      <c r="AM298" s="11"/>
    </row>
    <row r="299">
      <c r="AI299" s="11"/>
      <c r="AM299" s="11"/>
    </row>
    <row r="300">
      <c r="AI300" s="11"/>
      <c r="AM300" s="11"/>
    </row>
    <row r="301">
      <c r="AI301" s="11"/>
      <c r="AM301" s="11"/>
    </row>
    <row r="302">
      <c r="AI302" s="11"/>
      <c r="AM302" s="11"/>
    </row>
    <row r="303">
      <c r="AI303" s="11"/>
      <c r="AM303" s="11"/>
    </row>
    <row r="304">
      <c r="AI304" s="11"/>
      <c r="AM304" s="11"/>
    </row>
    <row r="305">
      <c r="AI305" s="11"/>
      <c r="AM305" s="11"/>
    </row>
    <row r="306">
      <c r="AI306" s="11"/>
      <c r="AM306" s="11"/>
    </row>
    <row r="307">
      <c r="AI307" s="11"/>
      <c r="AM307" s="11"/>
    </row>
    <row r="308">
      <c r="AI308" s="11"/>
      <c r="AM308" s="11"/>
    </row>
    <row r="309">
      <c r="AI309" s="11"/>
      <c r="AM309" s="11"/>
    </row>
    <row r="310">
      <c r="AI310" s="11"/>
      <c r="AM310" s="11"/>
    </row>
    <row r="311">
      <c r="AI311" s="11"/>
      <c r="AM311" s="11"/>
    </row>
    <row r="312">
      <c r="AI312" s="11"/>
      <c r="AM312" s="11"/>
    </row>
    <row r="313">
      <c r="AI313" s="11"/>
      <c r="AM313" s="11"/>
    </row>
    <row r="314">
      <c r="AI314" s="11"/>
      <c r="AM314" s="11"/>
    </row>
    <row r="315">
      <c r="AI315" s="11"/>
      <c r="AM315" s="11"/>
    </row>
    <row r="316">
      <c r="AI316" s="11"/>
      <c r="AM316" s="11"/>
    </row>
    <row r="317">
      <c r="AI317" s="11"/>
      <c r="AM317" s="11"/>
    </row>
    <row r="318">
      <c r="AI318" s="11"/>
      <c r="AM318" s="11"/>
    </row>
    <row r="319">
      <c r="AI319" s="11"/>
      <c r="AM319" s="11"/>
    </row>
    <row r="320">
      <c r="AI320" s="11"/>
      <c r="AM320" s="11"/>
    </row>
    <row r="321">
      <c r="AI321" s="11"/>
      <c r="AM321" s="11"/>
    </row>
    <row r="322">
      <c r="AI322" s="11"/>
      <c r="AM322" s="11"/>
    </row>
    <row r="323">
      <c r="AI323" s="11"/>
      <c r="AM323" s="11"/>
    </row>
    <row r="324">
      <c r="AI324" s="11"/>
      <c r="AM324" s="11"/>
    </row>
    <row r="325">
      <c r="AI325" s="11"/>
      <c r="AM325" s="11"/>
    </row>
    <row r="326">
      <c r="AI326" s="11"/>
      <c r="AM326" s="11"/>
    </row>
    <row r="327">
      <c r="AI327" s="11"/>
      <c r="AM327" s="11"/>
    </row>
    <row r="328">
      <c r="AI328" s="11"/>
      <c r="AM328" s="11"/>
    </row>
    <row r="329">
      <c r="AI329" s="11"/>
      <c r="AM329" s="11"/>
    </row>
    <row r="330">
      <c r="AI330" s="11"/>
      <c r="AM330" s="11"/>
    </row>
    <row r="331">
      <c r="AI331" s="11"/>
      <c r="AM331" s="11"/>
    </row>
    <row r="332">
      <c r="AI332" s="11"/>
      <c r="AM332" s="11"/>
    </row>
    <row r="333">
      <c r="AI333" s="11"/>
      <c r="AM333" s="11"/>
    </row>
    <row r="334">
      <c r="AI334" s="11"/>
      <c r="AM334" s="11"/>
    </row>
    <row r="335">
      <c r="AI335" s="11"/>
      <c r="AM335" s="11"/>
    </row>
    <row r="336">
      <c r="AI336" s="11"/>
      <c r="AM336" s="11"/>
    </row>
    <row r="337">
      <c r="AI337" s="11"/>
      <c r="AM337" s="11"/>
    </row>
    <row r="338">
      <c r="AI338" s="11"/>
      <c r="AM338" s="11"/>
    </row>
    <row r="339">
      <c r="AI339" s="11"/>
      <c r="AM339" s="11"/>
    </row>
    <row r="340">
      <c r="AI340" s="11"/>
      <c r="AM340" s="11"/>
    </row>
    <row r="341">
      <c r="AI341" s="11"/>
      <c r="AM341" s="11"/>
    </row>
    <row r="342">
      <c r="AI342" s="11"/>
      <c r="AM342" s="11"/>
    </row>
    <row r="343">
      <c r="AI343" s="11"/>
      <c r="AM343" s="11"/>
    </row>
    <row r="344">
      <c r="AI344" s="11"/>
      <c r="AM344" s="11"/>
    </row>
    <row r="345">
      <c r="AI345" s="11"/>
      <c r="AM345" s="11"/>
    </row>
    <row r="346">
      <c r="AI346" s="11"/>
      <c r="AM346" s="11"/>
    </row>
    <row r="347">
      <c r="AI347" s="11"/>
      <c r="AM347" s="11"/>
    </row>
    <row r="348">
      <c r="AI348" s="11"/>
      <c r="AM348" s="11"/>
    </row>
    <row r="349">
      <c r="AI349" s="11"/>
      <c r="AM349" s="11"/>
    </row>
    <row r="350">
      <c r="AI350" s="11"/>
      <c r="AM350" s="11"/>
    </row>
    <row r="351">
      <c r="AI351" s="11"/>
      <c r="AM351" s="11"/>
    </row>
    <row r="352">
      <c r="AI352" s="11"/>
      <c r="AM352" s="11"/>
    </row>
    <row r="353">
      <c r="AI353" s="11"/>
      <c r="AM353" s="11"/>
    </row>
    <row r="354">
      <c r="AI354" s="11"/>
      <c r="AM354" s="11"/>
    </row>
    <row r="355">
      <c r="AI355" s="11"/>
      <c r="AM355" s="11"/>
    </row>
    <row r="356">
      <c r="AI356" s="11"/>
      <c r="AM356" s="11"/>
    </row>
    <row r="357">
      <c r="AI357" s="11"/>
      <c r="AM357" s="11"/>
    </row>
    <row r="358">
      <c r="AI358" s="11"/>
      <c r="AM358" s="11"/>
    </row>
    <row r="359">
      <c r="AI359" s="11"/>
      <c r="AM359" s="11"/>
    </row>
    <row r="360">
      <c r="AI360" s="11"/>
      <c r="AM360" s="11"/>
    </row>
    <row r="361">
      <c r="AI361" s="11"/>
      <c r="AM361" s="11"/>
    </row>
    <row r="362">
      <c r="AI362" s="11"/>
      <c r="AM362" s="11"/>
    </row>
    <row r="363">
      <c r="AI363" s="11"/>
      <c r="AM363" s="11"/>
    </row>
    <row r="364">
      <c r="AI364" s="11"/>
      <c r="AM364" s="11"/>
    </row>
    <row r="365">
      <c r="AI365" s="11"/>
      <c r="AM365" s="11"/>
    </row>
    <row r="366">
      <c r="AI366" s="11"/>
      <c r="AM366" s="11"/>
    </row>
    <row r="367">
      <c r="AI367" s="11"/>
      <c r="AM367" s="11"/>
    </row>
    <row r="368">
      <c r="AI368" s="11"/>
      <c r="AM368" s="11"/>
    </row>
    <row r="369">
      <c r="AI369" s="11"/>
      <c r="AM369" s="11"/>
    </row>
    <row r="370">
      <c r="AI370" s="11"/>
      <c r="AM370" s="11"/>
    </row>
    <row r="371">
      <c r="AI371" s="11"/>
      <c r="AM371" s="11"/>
    </row>
    <row r="372">
      <c r="AI372" s="11"/>
      <c r="AM372" s="11"/>
    </row>
    <row r="373">
      <c r="AI373" s="11"/>
      <c r="AM373" s="11"/>
    </row>
    <row r="374">
      <c r="AI374" s="11"/>
      <c r="AM374" s="11"/>
    </row>
    <row r="375">
      <c r="AI375" s="11"/>
      <c r="AM375" s="11"/>
    </row>
    <row r="376">
      <c r="AI376" s="11"/>
      <c r="AM376" s="11"/>
    </row>
    <row r="377">
      <c r="AI377" s="11"/>
      <c r="AM377" s="11"/>
    </row>
    <row r="378">
      <c r="AI378" s="11"/>
      <c r="AM378" s="11"/>
    </row>
    <row r="379">
      <c r="AI379" s="11"/>
      <c r="AM379" s="11"/>
    </row>
    <row r="380">
      <c r="AI380" s="11"/>
      <c r="AM380" s="11"/>
    </row>
    <row r="381">
      <c r="AI381" s="11"/>
      <c r="AM381" s="11"/>
    </row>
    <row r="382">
      <c r="AI382" s="11"/>
      <c r="AM382" s="11"/>
    </row>
    <row r="383">
      <c r="AI383" s="11"/>
      <c r="AM383" s="11"/>
    </row>
    <row r="384">
      <c r="AI384" s="11"/>
      <c r="AM384" s="11"/>
    </row>
    <row r="385">
      <c r="AI385" s="11"/>
      <c r="AM385" s="11"/>
    </row>
    <row r="386">
      <c r="AI386" s="11"/>
      <c r="AM386" s="11"/>
    </row>
    <row r="387">
      <c r="AI387" s="11"/>
      <c r="AM387" s="11"/>
    </row>
    <row r="388">
      <c r="AI388" s="11"/>
      <c r="AM388" s="11"/>
    </row>
    <row r="389">
      <c r="AI389" s="11"/>
      <c r="AM389" s="11"/>
    </row>
    <row r="390">
      <c r="AI390" s="11"/>
      <c r="AM390" s="11"/>
    </row>
    <row r="391">
      <c r="AI391" s="11"/>
      <c r="AM391" s="11"/>
    </row>
    <row r="392">
      <c r="AI392" s="11"/>
      <c r="AM392" s="11"/>
    </row>
    <row r="393">
      <c r="AI393" s="11"/>
      <c r="AM393" s="11"/>
    </row>
    <row r="394">
      <c r="AI394" s="11"/>
      <c r="AM394" s="11"/>
    </row>
    <row r="395">
      <c r="AI395" s="11"/>
      <c r="AM395" s="11"/>
    </row>
    <row r="396">
      <c r="AI396" s="11"/>
      <c r="AM396" s="11"/>
    </row>
    <row r="397">
      <c r="AI397" s="11"/>
      <c r="AM397" s="11"/>
    </row>
    <row r="398">
      <c r="AI398" s="11"/>
      <c r="AM398" s="11"/>
    </row>
    <row r="399">
      <c r="AI399" s="11"/>
      <c r="AM399" s="11"/>
    </row>
    <row r="400">
      <c r="AI400" s="11"/>
      <c r="AM400" s="11"/>
    </row>
    <row r="401">
      <c r="AI401" s="11"/>
      <c r="AM401" s="11"/>
    </row>
    <row r="402">
      <c r="AI402" s="11"/>
      <c r="AM402" s="11"/>
    </row>
    <row r="403">
      <c r="AI403" s="11"/>
      <c r="AM403" s="11"/>
    </row>
    <row r="404">
      <c r="AI404" s="11"/>
      <c r="AM404" s="11"/>
    </row>
    <row r="405">
      <c r="AI405" s="11"/>
      <c r="AM405" s="11"/>
    </row>
    <row r="406">
      <c r="AI406" s="11"/>
      <c r="AM406" s="11"/>
    </row>
    <row r="407">
      <c r="AI407" s="11"/>
      <c r="AM407" s="11"/>
    </row>
    <row r="408">
      <c r="AI408" s="11"/>
      <c r="AM408" s="11"/>
    </row>
    <row r="409">
      <c r="AI409" s="11"/>
      <c r="AM409" s="11"/>
    </row>
    <row r="410">
      <c r="AI410" s="11"/>
      <c r="AM410" s="11"/>
    </row>
    <row r="411">
      <c r="AI411" s="11"/>
      <c r="AM411" s="11"/>
    </row>
    <row r="412">
      <c r="AI412" s="11"/>
      <c r="AM412" s="11"/>
    </row>
    <row r="413">
      <c r="AI413" s="11"/>
      <c r="AM413" s="11"/>
    </row>
    <row r="414">
      <c r="AI414" s="11"/>
      <c r="AM414" s="11"/>
    </row>
    <row r="415">
      <c r="AI415" s="11"/>
      <c r="AM415" s="11"/>
    </row>
    <row r="416">
      <c r="AI416" s="11"/>
      <c r="AM416" s="11"/>
    </row>
    <row r="417">
      <c r="AI417" s="11"/>
      <c r="AM417" s="11"/>
    </row>
    <row r="418">
      <c r="AI418" s="11"/>
      <c r="AM418" s="11"/>
    </row>
    <row r="419">
      <c r="AI419" s="11"/>
      <c r="AM419" s="11"/>
    </row>
    <row r="420">
      <c r="AI420" s="11"/>
      <c r="AM420" s="11"/>
    </row>
    <row r="421">
      <c r="AI421" s="11"/>
      <c r="AM421" s="11"/>
    </row>
    <row r="422">
      <c r="AI422" s="11"/>
      <c r="AM422" s="11"/>
    </row>
    <row r="423">
      <c r="AI423" s="11"/>
      <c r="AM423" s="11"/>
    </row>
    <row r="424">
      <c r="AI424" s="11"/>
      <c r="AM424" s="11"/>
    </row>
    <row r="425">
      <c r="AI425" s="11"/>
      <c r="AM425" s="11"/>
    </row>
    <row r="426">
      <c r="AI426" s="11"/>
      <c r="AM426" s="11"/>
    </row>
    <row r="427">
      <c r="AI427" s="11"/>
      <c r="AM427" s="11"/>
    </row>
    <row r="428">
      <c r="AI428" s="11"/>
      <c r="AM428" s="11"/>
    </row>
    <row r="429">
      <c r="AI429" s="11"/>
      <c r="AM429" s="11"/>
    </row>
    <row r="430">
      <c r="AI430" s="11"/>
      <c r="AM430" s="11"/>
    </row>
    <row r="431">
      <c r="AI431" s="11"/>
      <c r="AM431" s="11"/>
    </row>
    <row r="432">
      <c r="AI432" s="11"/>
      <c r="AM432" s="11"/>
    </row>
    <row r="433">
      <c r="AI433" s="11"/>
      <c r="AM433" s="11"/>
    </row>
    <row r="434">
      <c r="AI434" s="11"/>
      <c r="AM434" s="11"/>
    </row>
    <row r="435">
      <c r="AI435" s="11"/>
      <c r="AM435" s="11"/>
    </row>
    <row r="436">
      <c r="AI436" s="11"/>
      <c r="AM436" s="11"/>
    </row>
    <row r="437">
      <c r="AI437" s="11"/>
      <c r="AM437" s="11"/>
    </row>
    <row r="438">
      <c r="AI438" s="11"/>
      <c r="AM438" s="11"/>
    </row>
    <row r="439">
      <c r="AI439" s="11"/>
      <c r="AM439" s="11"/>
    </row>
    <row r="440">
      <c r="AI440" s="11"/>
      <c r="AM440" s="11"/>
    </row>
    <row r="441">
      <c r="AI441" s="11"/>
      <c r="AM441" s="11"/>
    </row>
    <row r="442">
      <c r="AI442" s="11"/>
      <c r="AM442" s="11"/>
    </row>
    <row r="443">
      <c r="AI443" s="11"/>
      <c r="AM443" s="11"/>
    </row>
    <row r="444">
      <c r="AI444" s="11"/>
      <c r="AM444" s="11"/>
    </row>
    <row r="445">
      <c r="AI445" s="11"/>
      <c r="AM445" s="11"/>
    </row>
    <row r="446">
      <c r="AI446" s="11"/>
      <c r="AM446" s="11"/>
    </row>
    <row r="447">
      <c r="AI447" s="11"/>
      <c r="AM447" s="11"/>
    </row>
    <row r="448">
      <c r="AI448" s="11"/>
      <c r="AM448" s="11"/>
    </row>
    <row r="449">
      <c r="AI449" s="11"/>
      <c r="AM449" s="11"/>
    </row>
    <row r="450">
      <c r="AI450" s="11"/>
      <c r="AM450" s="11"/>
    </row>
    <row r="451">
      <c r="AI451" s="11"/>
      <c r="AM451" s="11"/>
    </row>
    <row r="452">
      <c r="AI452" s="11"/>
      <c r="AM452" s="11"/>
    </row>
    <row r="453">
      <c r="AI453" s="11"/>
      <c r="AM453" s="11"/>
    </row>
    <row r="454">
      <c r="AI454" s="11"/>
      <c r="AM454" s="11"/>
    </row>
    <row r="455">
      <c r="AI455" s="11"/>
      <c r="AM455" s="11"/>
    </row>
    <row r="456">
      <c r="AI456" s="11"/>
      <c r="AM456" s="11"/>
    </row>
    <row r="457">
      <c r="AI457" s="11"/>
      <c r="AM457" s="11"/>
    </row>
    <row r="458">
      <c r="AI458" s="11"/>
      <c r="AM458" s="11"/>
    </row>
    <row r="459">
      <c r="AI459" s="11"/>
      <c r="AM459" s="11"/>
    </row>
    <row r="460">
      <c r="AI460" s="11"/>
      <c r="AM460" s="11"/>
    </row>
    <row r="461">
      <c r="AI461" s="11"/>
      <c r="AM461" s="11"/>
    </row>
    <row r="462">
      <c r="AI462" s="11"/>
      <c r="AM462" s="11"/>
    </row>
    <row r="463">
      <c r="AI463" s="11"/>
      <c r="AM463" s="11"/>
    </row>
    <row r="464">
      <c r="AI464" s="11"/>
      <c r="AM464" s="11"/>
    </row>
    <row r="465">
      <c r="AI465" s="11"/>
      <c r="AM465" s="11"/>
    </row>
    <row r="466">
      <c r="AI466" s="11"/>
      <c r="AM466" s="11"/>
    </row>
    <row r="467">
      <c r="AI467" s="11"/>
      <c r="AM467" s="11"/>
    </row>
    <row r="468">
      <c r="AI468" s="11"/>
      <c r="AM468" s="11"/>
    </row>
    <row r="469">
      <c r="AI469" s="11"/>
      <c r="AM469" s="11"/>
    </row>
    <row r="470">
      <c r="AI470" s="11"/>
      <c r="AM470" s="11"/>
    </row>
    <row r="471">
      <c r="AI471" s="11"/>
      <c r="AM471" s="11"/>
    </row>
    <row r="472">
      <c r="AI472" s="11"/>
      <c r="AM472" s="11"/>
    </row>
    <row r="473">
      <c r="AI473" s="11"/>
      <c r="AM473" s="11"/>
    </row>
    <row r="474">
      <c r="AI474" s="11"/>
      <c r="AM474" s="11"/>
    </row>
    <row r="475">
      <c r="AI475" s="11"/>
      <c r="AM475" s="11"/>
    </row>
    <row r="476">
      <c r="AI476" s="11"/>
      <c r="AM476" s="11"/>
    </row>
    <row r="477">
      <c r="AI477" s="11"/>
      <c r="AM477" s="11"/>
    </row>
    <row r="478">
      <c r="AI478" s="11"/>
      <c r="AM478" s="11"/>
    </row>
    <row r="479">
      <c r="AI479" s="11"/>
      <c r="AM479" s="11"/>
    </row>
    <row r="480">
      <c r="AI480" s="11"/>
      <c r="AM480" s="11"/>
    </row>
    <row r="481">
      <c r="AI481" s="11"/>
      <c r="AM481" s="11"/>
    </row>
    <row r="482">
      <c r="AI482" s="11"/>
      <c r="AM482" s="11"/>
    </row>
    <row r="483">
      <c r="AI483" s="11"/>
      <c r="AM483" s="11"/>
    </row>
    <row r="484">
      <c r="AI484" s="11"/>
      <c r="AM484" s="11"/>
    </row>
    <row r="485">
      <c r="AI485" s="11"/>
      <c r="AM485" s="11"/>
    </row>
    <row r="486">
      <c r="AI486" s="11"/>
      <c r="AM486" s="11"/>
    </row>
    <row r="487">
      <c r="AI487" s="11"/>
      <c r="AM487" s="11"/>
    </row>
    <row r="488">
      <c r="AI488" s="11"/>
      <c r="AM488" s="11"/>
    </row>
    <row r="489">
      <c r="AI489" s="11"/>
      <c r="AM489" s="11"/>
    </row>
    <row r="490">
      <c r="AI490" s="11"/>
      <c r="AM490" s="11"/>
    </row>
    <row r="491">
      <c r="AI491" s="11"/>
      <c r="AM491" s="11"/>
    </row>
    <row r="492">
      <c r="AI492" s="11"/>
      <c r="AM492" s="11"/>
    </row>
    <row r="493">
      <c r="AI493" s="11"/>
      <c r="AM493" s="11"/>
    </row>
    <row r="494">
      <c r="AI494" s="11"/>
      <c r="AM494" s="11"/>
    </row>
    <row r="495">
      <c r="AI495" s="11"/>
      <c r="AM495" s="11"/>
    </row>
    <row r="496">
      <c r="AI496" s="11"/>
      <c r="AM496" s="11"/>
    </row>
    <row r="497">
      <c r="AI497" s="11"/>
      <c r="AM497" s="11"/>
    </row>
    <row r="498">
      <c r="AI498" s="11"/>
      <c r="AM498" s="11"/>
    </row>
    <row r="499">
      <c r="AI499" s="11"/>
      <c r="AM499" s="11"/>
    </row>
    <row r="500">
      <c r="AI500" s="11"/>
      <c r="AM500" s="11"/>
    </row>
    <row r="501">
      <c r="AI501" s="11"/>
      <c r="AM501" s="11"/>
    </row>
    <row r="502">
      <c r="AI502" s="11"/>
      <c r="AM502" s="11"/>
    </row>
    <row r="503">
      <c r="AI503" s="11"/>
      <c r="AM503" s="11"/>
    </row>
    <row r="504">
      <c r="AI504" s="11"/>
      <c r="AM504" s="11"/>
    </row>
    <row r="505">
      <c r="AI505" s="11"/>
      <c r="AM505" s="11"/>
    </row>
    <row r="506">
      <c r="AI506" s="11"/>
      <c r="AM506" s="11"/>
    </row>
    <row r="507">
      <c r="AI507" s="11"/>
      <c r="AM507" s="11"/>
    </row>
    <row r="508">
      <c r="AI508" s="11"/>
      <c r="AM508" s="11"/>
    </row>
    <row r="509">
      <c r="AI509" s="11"/>
      <c r="AM509" s="11"/>
    </row>
    <row r="510">
      <c r="AI510" s="11"/>
      <c r="AM510" s="11"/>
    </row>
    <row r="511">
      <c r="AI511" s="11"/>
      <c r="AM511" s="11"/>
    </row>
    <row r="512">
      <c r="AI512" s="11"/>
      <c r="AM512" s="11"/>
    </row>
    <row r="513">
      <c r="AI513" s="11"/>
      <c r="AM513" s="11"/>
    </row>
    <row r="514">
      <c r="AI514" s="11"/>
      <c r="AM514" s="11"/>
    </row>
    <row r="515">
      <c r="AI515" s="11"/>
      <c r="AM515" s="11"/>
    </row>
    <row r="516">
      <c r="AI516" s="11"/>
      <c r="AM516" s="11"/>
    </row>
    <row r="517">
      <c r="AI517" s="11"/>
      <c r="AM517" s="11"/>
    </row>
    <row r="518">
      <c r="AI518" s="11"/>
      <c r="AM518" s="11"/>
    </row>
    <row r="519">
      <c r="AI519" s="11"/>
      <c r="AM519" s="11"/>
    </row>
    <row r="520">
      <c r="AI520" s="11"/>
      <c r="AM520" s="11"/>
    </row>
    <row r="521">
      <c r="AI521" s="11"/>
      <c r="AM521" s="11"/>
    </row>
    <row r="522">
      <c r="AI522" s="11"/>
      <c r="AM522" s="11"/>
    </row>
    <row r="523">
      <c r="AI523" s="11"/>
      <c r="AM523" s="11"/>
    </row>
    <row r="524">
      <c r="AI524" s="11"/>
      <c r="AM524" s="11"/>
    </row>
    <row r="525">
      <c r="AI525" s="11"/>
      <c r="AM525" s="11"/>
    </row>
    <row r="526">
      <c r="AI526" s="11"/>
      <c r="AM526" s="11"/>
    </row>
    <row r="527">
      <c r="AI527" s="11"/>
      <c r="AM527" s="11"/>
    </row>
    <row r="528">
      <c r="AI528" s="11"/>
      <c r="AM528" s="11"/>
    </row>
    <row r="529">
      <c r="AI529" s="11"/>
      <c r="AM529" s="11"/>
    </row>
    <row r="530">
      <c r="AI530" s="11"/>
      <c r="AM530" s="11"/>
    </row>
    <row r="531">
      <c r="AI531" s="11"/>
      <c r="AM531" s="11"/>
    </row>
    <row r="532">
      <c r="AI532" s="11"/>
      <c r="AM532" s="11"/>
    </row>
    <row r="533">
      <c r="AI533" s="11"/>
      <c r="AM533" s="11"/>
    </row>
    <row r="534">
      <c r="AI534" s="11"/>
      <c r="AM534" s="11"/>
    </row>
    <row r="535">
      <c r="AI535" s="11"/>
      <c r="AM535" s="11"/>
    </row>
    <row r="536">
      <c r="AI536" s="11"/>
      <c r="AM536" s="11"/>
    </row>
    <row r="537">
      <c r="AI537" s="11"/>
      <c r="AM537" s="11"/>
    </row>
    <row r="538">
      <c r="AI538" s="11"/>
      <c r="AM538" s="11"/>
    </row>
    <row r="539">
      <c r="AI539" s="11"/>
      <c r="AM539" s="11"/>
    </row>
    <row r="540">
      <c r="AI540" s="11"/>
      <c r="AM540" s="11"/>
    </row>
    <row r="541">
      <c r="AI541" s="11"/>
      <c r="AM541" s="11"/>
    </row>
    <row r="542">
      <c r="AI542" s="11"/>
      <c r="AM542" s="11"/>
    </row>
    <row r="543">
      <c r="AI543" s="11"/>
      <c r="AM543" s="11"/>
    </row>
    <row r="544">
      <c r="AI544" s="11"/>
      <c r="AM544" s="11"/>
    </row>
    <row r="545">
      <c r="AI545" s="11"/>
      <c r="AM545" s="11"/>
    </row>
    <row r="546">
      <c r="AI546" s="11"/>
      <c r="AM546" s="11"/>
    </row>
    <row r="547">
      <c r="AI547" s="11"/>
      <c r="AM547" s="11"/>
    </row>
    <row r="548">
      <c r="AI548" s="11"/>
      <c r="AM548" s="11"/>
    </row>
    <row r="549">
      <c r="AI549" s="11"/>
      <c r="AM549" s="11"/>
    </row>
    <row r="550">
      <c r="AI550" s="11"/>
      <c r="AM550" s="11"/>
    </row>
    <row r="551">
      <c r="AI551" s="11"/>
      <c r="AM551" s="11"/>
    </row>
    <row r="552">
      <c r="AI552" s="11"/>
      <c r="AM552" s="11"/>
    </row>
    <row r="553">
      <c r="AI553" s="11"/>
      <c r="AM553" s="11"/>
    </row>
    <row r="554">
      <c r="AI554" s="11"/>
      <c r="AM554" s="11"/>
    </row>
    <row r="555">
      <c r="AI555" s="11"/>
      <c r="AM555" s="11"/>
    </row>
    <row r="556">
      <c r="AI556" s="11"/>
      <c r="AM556" s="11"/>
    </row>
    <row r="557">
      <c r="AI557" s="11"/>
      <c r="AM557" s="11"/>
    </row>
    <row r="558">
      <c r="AI558" s="11"/>
      <c r="AM558" s="11"/>
    </row>
    <row r="559">
      <c r="AI559" s="11"/>
      <c r="AM559" s="11"/>
    </row>
    <row r="560">
      <c r="AI560" s="11"/>
      <c r="AM560" s="11"/>
    </row>
    <row r="561">
      <c r="AI561" s="11"/>
      <c r="AM561" s="11"/>
    </row>
    <row r="562">
      <c r="AI562" s="11"/>
      <c r="AM562" s="11"/>
    </row>
    <row r="563">
      <c r="AI563" s="11"/>
      <c r="AM563" s="11"/>
    </row>
    <row r="564">
      <c r="AI564" s="11"/>
      <c r="AM564" s="11"/>
    </row>
    <row r="565">
      <c r="AI565" s="11"/>
      <c r="AM565" s="11"/>
    </row>
    <row r="566">
      <c r="AI566" s="11"/>
      <c r="AM566" s="11"/>
    </row>
    <row r="567">
      <c r="AI567" s="11"/>
      <c r="AM567" s="11"/>
    </row>
    <row r="568">
      <c r="AI568" s="11"/>
      <c r="AM568" s="11"/>
    </row>
    <row r="569">
      <c r="AI569" s="11"/>
      <c r="AM569" s="11"/>
    </row>
    <row r="570">
      <c r="AI570" s="11"/>
      <c r="AM570" s="11"/>
    </row>
    <row r="571">
      <c r="AI571" s="11"/>
      <c r="AM571" s="11"/>
    </row>
    <row r="572">
      <c r="AI572" s="11"/>
      <c r="AM572" s="11"/>
    </row>
    <row r="573">
      <c r="AI573" s="11"/>
      <c r="AM573" s="11"/>
    </row>
    <row r="574">
      <c r="AI574" s="11"/>
      <c r="AM574" s="11"/>
    </row>
    <row r="575">
      <c r="AI575" s="11"/>
      <c r="AM575" s="11"/>
    </row>
    <row r="576">
      <c r="AI576" s="11"/>
      <c r="AM576" s="11"/>
    </row>
    <row r="577">
      <c r="AI577" s="11"/>
      <c r="AM577" s="11"/>
    </row>
    <row r="578">
      <c r="AI578" s="11"/>
      <c r="AM578" s="11"/>
    </row>
    <row r="579">
      <c r="AI579" s="11"/>
      <c r="AM579" s="11"/>
    </row>
    <row r="580">
      <c r="AI580" s="11"/>
      <c r="AM580" s="11"/>
    </row>
    <row r="581">
      <c r="AI581" s="11"/>
      <c r="AM581" s="11"/>
    </row>
    <row r="582">
      <c r="AI582" s="11"/>
      <c r="AM582" s="11"/>
    </row>
    <row r="583">
      <c r="AI583" s="11"/>
      <c r="AM583" s="11"/>
    </row>
    <row r="584">
      <c r="AI584" s="11"/>
      <c r="AM584" s="11"/>
    </row>
    <row r="585">
      <c r="AI585" s="11"/>
      <c r="AM585" s="11"/>
    </row>
    <row r="586">
      <c r="AI586" s="11"/>
      <c r="AM586" s="11"/>
    </row>
    <row r="587">
      <c r="AI587" s="11"/>
      <c r="AM587" s="11"/>
    </row>
    <row r="588">
      <c r="AI588" s="11"/>
      <c r="AM588" s="11"/>
    </row>
    <row r="589">
      <c r="AI589" s="11"/>
      <c r="AM589" s="11"/>
    </row>
    <row r="590">
      <c r="AI590" s="11"/>
      <c r="AM590" s="11"/>
    </row>
    <row r="591">
      <c r="AI591" s="11"/>
      <c r="AM591" s="11"/>
    </row>
    <row r="592">
      <c r="AI592" s="11"/>
      <c r="AM592" s="11"/>
    </row>
    <row r="593">
      <c r="AI593" s="11"/>
      <c r="AM593" s="11"/>
    </row>
    <row r="594">
      <c r="AI594" s="11"/>
      <c r="AM594" s="11"/>
    </row>
    <row r="595">
      <c r="AI595" s="11"/>
      <c r="AM595" s="11"/>
    </row>
    <row r="596">
      <c r="AI596" s="11"/>
      <c r="AM596" s="11"/>
    </row>
    <row r="597">
      <c r="AI597" s="11"/>
      <c r="AM597" s="11"/>
    </row>
    <row r="598">
      <c r="AI598" s="11"/>
      <c r="AM598" s="11"/>
    </row>
    <row r="599">
      <c r="AI599" s="11"/>
      <c r="AM599" s="11"/>
    </row>
    <row r="600">
      <c r="AI600" s="11"/>
      <c r="AM600" s="11"/>
    </row>
    <row r="601">
      <c r="AI601" s="11"/>
      <c r="AM601" s="11"/>
    </row>
    <row r="602">
      <c r="AI602" s="11"/>
      <c r="AM602" s="11"/>
    </row>
    <row r="603">
      <c r="AI603" s="11"/>
      <c r="AM603" s="11"/>
    </row>
    <row r="604">
      <c r="AI604" s="11"/>
      <c r="AM604" s="11"/>
    </row>
    <row r="605">
      <c r="AI605" s="11"/>
      <c r="AM605" s="11"/>
    </row>
    <row r="606">
      <c r="AI606" s="11"/>
      <c r="AM606" s="11"/>
    </row>
    <row r="607">
      <c r="AI607" s="11"/>
      <c r="AM607" s="11"/>
    </row>
    <row r="608">
      <c r="AI608" s="11"/>
      <c r="AM608" s="11"/>
    </row>
    <row r="609">
      <c r="AI609" s="11"/>
      <c r="AM609" s="11"/>
    </row>
    <row r="610">
      <c r="AI610" s="11"/>
      <c r="AM610" s="11"/>
    </row>
    <row r="611">
      <c r="AI611" s="11"/>
      <c r="AM611" s="11"/>
    </row>
    <row r="612">
      <c r="AI612" s="11"/>
      <c r="AM612" s="11"/>
    </row>
    <row r="613">
      <c r="AI613" s="11"/>
      <c r="AM613" s="11"/>
    </row>
    <row r="614">
      <c r="AI614" s="11"/>
      <c r="AM614" s="11"/>
    </row>
    <row r="615">
      <c r="AI615" s="11"/>
      <c r="AM615" s="11"/>
    </row>
    <row r="616">
      <c r="AI616" s="11"/>
      <c r="AM616" s="11"/>
    </row>
    <row r="617">
      <c r="AI617" s="11"/>
      <c r="AM617" s="11"/>
    </row>
    <row r="618">
      <c r="AI618" s="11"/>
      <c r="AM618" s="11"/>
    </row>
    <row r="619">
      <c r="AI619" s="11"/>
      <c r="AM619" s="11"/>
    </row>
    <row r="620">
      <c r="AI620" s="11"/>
      <c r="AM620" s="11"/>
    </row>
    <row r="621">
      <c r="AI621" s="11"/>
      <c r="AM621" s="11"/>
    </row>
    <row r="622">
      <c r="AI622" s="11"/>
      <c r="AM622" s="11"/>
    </row>
    <row r="623">
      <c r="AI623" s="11"/>
      <c r="AM623" s="11"/>
    </row>
    <row r="624">
      <c r="AI624" s="11"/>
      <c r="AM624" s="11"/>
    </row>
    <row r="625">
      <c r="AI625" s="11"/>
      <c r="AM625" s="11"/>
    </row>
    <row r="626">
      <c r="AI626" s="11"/>
      <c r="AM626" s="11"/>
    </row>
    <row r="627">
      <c r="AI627" s="11"/>
      <c r="AM627" s="11"/>
    </row>
    <row r="628">
      <c r="AI628" s="11"/>
      <c r="AM628" s="11"/>
    </row>
    <row r="629">
      <c r="AI629" s="11"/>
      <c r="AM629" s="11"/>
    </row>
    <row r="630">
      <c r="AI630" s="11"/>
      <c r="AM630" s="11"/>
    </row>
    <row r="631">
      <c r="AI631" s="11"/>
      <c r="AM631" s="11"/>
    </row>
    <row r="632">
      <c r="AI632" s="11"/>
      <c r="AM632" s="11"/>
    </row>
    <row r="633">
      <c r="AI633" s="11"/>
      <c r="AM633" s="11"/>
    </row>
    <row r="634">
      <c r="AI634" s="11"/>
      <c r="AM634" s="11"/>
    </row>
    <row r="635">
      <c r="AI635" s="11"/>
      <c r="AM635" s="11"/>
    </row>
    <row r="636">
      <c r="AI636" s="11"/>
      <c r="AM636" s="11"/>
    </row>
    <row r="637">
      <c r="AI637" s="11"/>
      <c r="AM637" s="11"/>
    </row>
    <row r="638">
      <c r="AI638" s="11"/>
      <c r="AM638" s="11"/>
    </row>
    <row r="639">
      <c r="AI639" s="11"/>
      <c r="AM639" s="11"/>
    </row>
    <row r="640">
      <c r="AI640" s="11"/>
      <c r="AM640" s="11"/>
    </row>
    <row r="641">
      <c r="AI641" s="11"/>
      <c r="AM641" s="11"/>
    </row>
    <row r="642">
      <c r="AI642" s="11"/>
      <c r="AM642" s="11"/>
    </row>
    <row r="643">
      <c r="AI643" s="11"/>
      <c r="AM643" s="11"/>
    </row>
    <row r="644">
      <c r="AI644" s="11"/>
      <c r="AM644" s="11"/>
    </row>
    <row r="645">
      <c r="AI645" s="11"/>
      <c r="AM645" s="11"/>
    </row>
    <row r="646">
      <c r="AI646" s="11"/>
      <c r="AM646" s="11"/>
    </row>
    <row r="647">
      <c r="AI647" s="11"/>
      <c r="AM647" s="11"/>
    </row>
    <row r="648">
      <c r="AI648" s="11"/>
      <c r="AM648" s="11"/>
    </row>
    <row r="649">
      <c r="AI649" s="11"/>
      <c r="AM649" s="11"/>
    </row>
    <row r="650">
      <c r="AI650" s="11"/>
      <c r="AM650" s="11"/>
    </row>
    <row r="651">
      <c r="AI651" s="11"/>
      <c r="AM651" s="11"/>
    </row>
    <row r="652">
      <c r="AI652" s="11"/>
      <c r="AM652" s="11"/>
    </row>
    <row r="653">
      <c r="AI653" s="11"/>
      <c r="AM653" s="11"/>
    </row>
    <row r="654">
      <c r="AI654" s="11"/>
      <c r="AM654" s="11"/>
    </row>
    <row r="655">
      <c r="AI655" s="11"/>
      <c r="AM655" s="11"/>
    </row>
    <row r="656">
      <c r="AI656" s="11"/>
      <c r="AM656" s="11"/>
    </row>
    <row r="657">
      <c r="AI657" s="11"/>
      <c r="AM657" s="11"/>
    </row>
    <row r="658">
      <c r="AI658" s="11"/>
      <c r="AM658" s="11"/>
    </row>
    <row r="659">
      <c r="AI659" s="11"/>
      <c r="AM659" s="11"/>
    </row>
    <row r="660">
      <c r="AI660" s="11"/>
      <c r="AM660" s="11"/>
    </row>
    <row r="661">
      <c r="AI661" s="11"/>
      <c r="AM661" s="11"/>
    </row>
    <row r="662">
      <c r="AI662" s="11"/>
      <c r="AM662" s="11"/>
    </row>
    <row r="663">
      <c r="AI663" s="11"/>
      <c r="AM663" s="11"/>
    </row>
    <row r="664">
      <c r="AI664" s="11"/>
      <c r="AM664" s="11"/>
    </row>
    <row r="665">
      <c r="AI665" s="11"/>
      <c r="AM665" s="11"/>
    </row>
    <row r="666">
      <c r="AI666" s="11"/>
      <c r="AM666" s="11"/>
    </row>
    <row r="667">
      <c r="AI667" s="11"/>
      <c r="AM667" s="11"/>
    </row>
    <row r="668">
      <c r="AI668" s="11"/>
      <c r="AM668" s="11"/>
    </row>
    <row r="669">
      <c r="AI669" s="11"/>
      <c r="AM669" s="11"/>
    </row>
    <row r="670">
      <c r="AI670" s="11"/>
      <c r="AM670" s="11"/>
    </row>
    <row r="671">
      <c r="AI671" s="11"/>
      <c r="AM671" s="11"/>
    </row>
    <row r="672">
      <c r="AI672" s="11"/>
      <c r="AM672" s="11"/>
    </row>
    <row r="673">
      <c r="AI673" s="11"/>
      <c r="AM673" s="11"/>
    </row>
    <row r="674">
      <c r="AI674" s="11"/>
      <c r="AM674" s="11"/>
    </row>
    <row r="675">
      <c r="AI675" s="11"/>
      <c r="AM675" s="11"/>
    </row>
    <row r="676">
      <c r="AI676" s="11"/>
      <c r="AM676" s="11"/>
    </row>
    <row r="677">
      <c r="AI677" s="11"/>
      <c r="AM677" s="11"/>
    </row>
    <row r="678">
      <c r="AI678" s="11"/>
      <c r="AM678" s="11"/>
    </row>
    <row r="679">
      <c r="AI679" s="11"/>
      <c r="AM679" s="11"/>
    </row>
    <row r="680">
      <c r="AI680" s="11"/>
      <c r="AM680" s="11"/>
    </row>
    <row r="681">
      <c r="AI681" s="11"/>
      <c r="AM681" s="11"/>
    </row>
    <row r="682">
      <c r="AI682" s="11"/>
      <c r="AM682" s="11"/>
    </row>
    <row r="683">
      <c r="AI683" s="11"/>
      <c r="AM683" s="11"/>
    </row>
    <row r="684">
      <c r="AI684" s="11"/>
      <c r="AM684" s="11"/>
    </row>
    <row r="685">
      <c r="AI685" s="11"/>
      <c r="AM685" s="11"/>
    </row>
    <row r="686">
      <c r="AI686" s="11"/>
      <c r="AM686" s="11"/>
    </row>
    <row r="687">
      <c r="AI687" s="11"/>
      <c r="AM687" s="11"/>
    </row>
    <row r="688">
      <c r="AI688" s="11"/>
      <c r="AM688" s="11"/>
    </row>
    <row r="689">
      <c r="AI689" s="11"/>
      <c r="AM689" s="11"/>
    </row>
    <row r="690">
      <c r="AI690" s="11"/>
      <c r="AM690" s="11"/>
    </row>
    <row r="691">
      <c r="AI691" s="11"/>
      <c r="AM691" s="11"/>
    </row>
    <row r="692">
      <c r="AI692" s="11"/>
      <c r="AM692" s="11"/>
    </row>
    <row r="693">
      <c r="AI693" s="11"/>
      <c r="AM693" s="11"/>
    </row>
    <row r="694">
      <c r="AI694" s="11"/>
      <c r="AM694" s="11"/>
    </row>
    <row r="695">
      <c r="AI695" s="11"/>
      <c r="AM695" s="11"/>
    </row>
    <row r="696">
      <c r="AI696" s="11"/>
      <c r="AM696" s="11"/>
    </row>
    <row r="697">
      <c r="AI697" s="11"/>
      <c r="AM697" s="11"/>
    </row>
    <row r="698">
      <c r="AI698" s="11"/>
      <c r="AM698" s="11"/>
    </row>
    <row r="699">
      <c r="AI699" s="11"/>
      <c r="AM699" s="11"/>
    </row>
    <row r="700">
      <c r="AI700" s="11"/>
      <c r="AM700" s="11"/>
    </row>
    <row r="701">
      <c r="AI701" s="11"/>
      <c r="AM701" s="11"/>
    </row>
    <row r="702">
      <c r="AI702" s="11"/>
      <c r="AM702" s="11"/>
    </row>
    <row r="703">
      <c r="AI703" s="11"/>
      <c r="AM703" s="11"/>
    </row>
    <row r="704">
      <c r="AI704" s="11"/>
      <c r="AM704" s="11"/>
    </row>
    <row r="705">
      <c r="AI705" s="11"/>
      <c r="AM705" s="11"/>
    </row>
    <row r="706">
      <c r="AI706" s="11"/>
      <c r="AM706" s="11"/>
    </row>
    <row r="707">
      <c r="AI707" s="11"/>
      <c r="AM707" s="11"/>
    </row>
    <row r="708">
      <c r="AI708" s="11"/>
      <c r="AM708" s="11"/>
    </row>
    <row r="709">
      <c r="AI709" s="11"/>
      <c r="AM709" s="11"/>
    </row>
    <row r="710">
      <c r="AI710" s="11"/>
      <c r="AM710" s="11"/>
    </row>
    <row r="711">
      <c r="AI711" s="11"/>
      <c r="AM711" s="11"/>
    </row>
    <row r="712">
      <c r="AI712" s="11"/>
      <c r="AM712" s="11"/>
    </row>
    <row r="713">
      <c r="AI713" s="11"/>
      <c r="AM713" s="11"/>
    </row>
    <row r="714">
      <c r="AI714" s="11"/>
      <c r="AM714" s="11"/>
    </row>
    <row r="715">
      <c r="AI715" s="11"/>
      <c r="AM715" s="11"/>
    </row>
    <row r="716">
      <c r="AI716" s="11"/>
      <c r="AM716" s="11"/>
    </row>
    <row r="717">
      <c r="AI717" s="11"/>
      <c r="AM717" s="11"/>
    </row>
    <row r="718">
      <c r="AI718" s="11"/>
      <c r="AM718" s="11"/>
    </row>
    <row r="719">
      <c r="AI719" s="11"/>
      <c r="AM719" s="11"/>
    </row>
    <row r="720">
      <c r="AI720" s="11"/>
      <c r="AM720" s="11"/>
    </row>
    <row r="721">
      <c r="AI721" s="11"/>
      <c r="AM721" s="11"/>
    </row>
    <row r="722">
      <c r="AI722" s="11"/>
      <c r="AM722" s="11"/>
    </row>
    <row r="723">
      <c r="AI723" s="11"/>
      <c r="AM723" s="11"/>
    </row>
    <row r="724">
      <c r="AI724" s="11"/>
      <c r="AM724" s="11"/>
    </row>
    <row r="725">
      <c r="AI725" s="11"/>
      <c r="AM725" s="11"/>
    </row>
    <row r="726">
      <c r="AI726" s="11"/>
      <c r="AM726" s="11"/>
    </row>
    <row r="727">
      <c r="AI727" s="11"/>
      <c r="AM727" s="11"/>
    </row>
    <row r="728">
      <c r="AI728" s="11"/>
      <c r="AM728" s="11"/>
    </row>
    <row r="729">
      <c r="AI729" s="11"/>
      <c r="AM729" s="11"/>
    </row>
    <row r="730">
      <c r="AI730" s="11"/>
      <c r="AM730" s="11"/>
    </row>
    <row r="731">
      <c r="AI731" s="11"/>
      <c r="AM731" s="11"/>
    </row>
    <row r="732">
      <c r="AI732" s="11"/>
      <c r="AM732" s="11"/>
    </row>
    <row r="733">
      <c r="AI733" s="11"/>
      <c r="AM733" s="11"/>
    </row>
    <row r="734">
      <c r="AI734" s="11"/>
      <c r="AM734" s="11"/>
    </row>
    <row r="735">
      <c r="AI735" s="11"/>
      <c r="AM735" s="11"/>
    </row>
    <row r="736">
      <c r="AI736" s="11"/>
      <c r="AM736" s="11"/>
    </row>
    <row r="737">
      <c r="AI737" s="11"/>
      <c r="AM737" s="11"/>
    </row>
    <row r="738">
      <c r="AI738" s="11"/>
      <c r="AM738" s="11"/>
    </row>
    <row r="739">
      <c r="AI739" s="11"/>
      <c r="AM739" s="11"/>
    </row>
    <row r="740">
      <c r="AI740" s="11"/>
      <c r="AM740" s="11"/>
    </row>
    <row r="741">
      <c r="AI741" s="11"/>
      <c r="AM741" s="11"/>
    </row>
    <row r="742">
      <c r="AI742" s="11"/>
      <c r="AM742" s="11"/>
    </row>
    <row r="743">
      <c r="AI743" s="11"/>
      <c r="AM743" s="11"/>
    </row>
    <row r="744">
      <c r="AI744" s="11"/>
      <c r="AM744" s="11"/>
    </row>
    <row r="745">
      <c r="AI745" s="11"/>
      <c r="AM745" s="11"/>
    </row>
    <row r="746">
      <c r="AI746" s="11"/>
      <c r="AM746" s="11"/>
    </row>
    <row r="747">
      <c r="AI747" s="11"/>
      <c r="AM747" s="11"/>
    </row>
    <row r="748">
      <c r="AI748" s="11"/>
      <c r="AM748" s="11"/>
    </row>
    <row r="749">
      <c r="AI749" s="11"/>
      <c r="AM749" s="11"/>
    </row>
    <row r="750">
      <c r="AI750" s="11"/>
      <c r="AM750" s="11"/>
    </row>
    <row r="751">
      <c r="AI751" s="11"/>
      <c r="AM751" s="11"/>
    </row>
    <row r="752">
      <c r="AI752" s="11"/>
      <c r="AM752" s="11"/>
    </row>
    <row r="753">
      <c r="AI753" s="11"/>
      <c r="AM753" s="11"/>
    </row>
    <row r="754">
      <c r="AI754" s="11"/>
      <c r="AM754" s="11"/>
    </row>
    <row r="755">
      <c r="AI755" s="11"/>
      <c r="AM755" s="11"/>
    </row>
    <row r="756">
      <c r="AI756" s="11"/>
      <c r="AM756" s="11"/>
    </row>
    <row r="757">
      <c r="AI757" s="11"/>
      <c r="AM757" s="11"/>
    </row>
    <row r="758">
      <c r="AI758" s="11"/>
      <c r="AM758" s="11"/>
    </row>
    <row r="759">
      <c r="AI759" s="11"/>
      <c r="AM759" s="11"/>
    </row>
    <row r="760">
      <c r="AI760" s="11"/>
      <c r="AM760" s="11"/>
    </row>
    <row r="761">
      <c r="AI761" s="11"/>
      <c r="AM761" s="11"/>
    </row>
    <row r="762">
      <c r="AI762" s="11"/>
      <c r="AM762" s="11"/>
    </row>
    <row r="763">
      <c r="AI763" s="11"/>
      <c r="AM763" s="11"/>
    </row>
    <row r="764">
      <c r="AI764" s="11"/>
      <c r="AM764" s="11"/>
    </row>
    <row r="765">
      <c r="AI765" s="11"/>
      <c r="AM765" s="11"/>
    </row>
    <row r="766">
      <c r="AI766" s="11"/>
      <c r="AM766" s="11"/>
    </row>
    <row r="767">
      <c r="AI767" s="11"/>
      <c r="AM767" s="11"/>
    </row>
    <row r="768">
      <c r="AI768" s="11"/>
      <c r="AM768" s="11"/>
    </row>
    <row r="769">
      <c r="AI769" s="11"/>
      <c r="AM769" s="11"/>
    </row>
    <row r="770">
      <c r="AI770" s="11"/>
      <c r="AM770" s="11"/>
    </row>
    <row r="771">
      <c r="AI771" s="11"/>
      <c r="AM771" s="11"/>
    </row>
    <row r="772">
      <c r="AI772" s="11"/>
      <c r="AM772" s="11"/>
    </row>
    <row r="773">
      <c r="AI773" s="11"/>
      <c r="AM773" s="11"/>
    </row>
    <row r="774">
      <c r="AI774" s="11"/>
      <c r="AM774" s="11"/>
    </row>
    <row r="775">
      <c r="AI775" s="11"/>
      <c r="AM775" s="11"/>
    </row>
    <row r="776">
      <c r="AI776" s="11"/>
      <c r="AM776" s="11"/>
    </row>
    <row r="777">
      <c r="AI777" s="11"/>
      <c r="AM777" s="11"/>
    </row>
    <row r="778">
      <c r="AI778" s="11"/>
      <c r="AM778" s="11"/>
    </row>
    <row r="779">
      <c r="AI779" s="11"/>
      <c r="AM779" s="11"/>
    </row>
    <row r="780">
      <c r="AI780" s="11"/>
      <c r="AM780" s="11"/>
    </row>
    <row r="781">
      <c r="AI781" s="11"/>
      <c r="AM781" s="11"/>
    </row>
    <row r="782">
      <c r="AI782" s="11"/>
      <c r="AM782" s="11"/>
    </row>
    <row r="783">
      <c r="AI783" s="11"/>
      <c r="AM783" s="11"/>
    </row>
    <row r="784">
      <c r="AI784" s="11"/>
      <c r="AM784" s="11"/>
    </row>
    <row r="785">
      <c r="AI785" s="11"/>
      <c r="AM785" s="11"/>
    </row>
    <row r="786">
      <c r="AI786" s="11"/>
      <c r="AM786" s="11"/>
    </row>
    <row r="787">
      <c r="AI787" s="11"/>
      <c r="AM787" s="11"/>
    </row>
    <row r="788">
      <c r="AI788" s="11"/>
      <c r="AM788" s="11"/>
    </row>
    <row r="789">
      <c r="AI789" s="11"/>
      <c r="AM789" s="11"/>
    </row>
    <row r="790">
      <c r="AI790" s="11"/>
      <c r="AM790" s="11"/>
    </row>
    <row r="791">
      <c r="AI791" s="11"/>
      <c r="AM791" s="11"/>
    </row>
    <row r="792">
      <c r="AI792" s="11"/>
      <c r="AM792" s="11"/>
    </row>
    <row r="793">
      <c r="AI793" s="11"/>
      <c r="AM793" s="11"/>
    </row>
    <row r="794">
      <c r="AI794" s="11"/>
      <c r="AM794" s="11"/>
    </row>
    <row r="795">
      <c r="AI795" s="11"/>
      <c r="AM795" s="11"/>
    </row>
    <row r="796">
      <c r="AI796" s="11"/>
      <c r="AM796" s="11"/>
    </row>
    <row r="797">
      <c r="AI797" s="11"/>
      <c r="AM797" s="11"/>
    </row>
    <row r="798">
      <c r="AI798" s="11"/>
      <c r="AM798" s="11"/>
    </row>
    <row r="799">
      <c r="AI799" s="11"/>
      <c r="AM799" s="11"/>
    </row>
    <row r="800">
      <c r="AI800" s="11"/>
      <c r="AM800" s="11"/>
    </row>
    <row r="801">
      <c r="AI801" s="11"/>
      <c r="AM801" s="11"/>
    </row>
    <row r="802">
      <c r="AI802" s="11"/>
      <c r="AM802" s="11"/>
    </row>
    <row r="803">
      <c r="AI803" s="11"/>
      <c r="AM803" s="11"/>
    </row>
    <row r="804">
      <c r="AI804" s="11"/>
      <c r="AM804" s="11"/>
    </row>
    <row r="805">
      <c r="AI805" s="11"/>
      <c r="AM805" s="11"/>
    </row>
    <row r="806">
      <c r="AI806" s="11"/>
      <c r="AM806" s="11"/>
    </row>
    <row r="807">
      <c r="AI807" s="11"/>
      <c r="AM807" s="11"/>
    </row>
    <row r="808">
      <c r="AI808" s="11"/>
      <c r="AM808" s="11"/>
    </row>
    <row r="809">
      <c r="AI809" s="11"/>
      <c r="AM809" s="11"/>
    </row>
    <row r="810">
      <c r="AI810" s="11"/>
      <c r="AM810" s="11"/>
    </row>
    <row r="811">
      <c r="AI811" s="11"/>
      <c r="AM811" s="11"/>
    </row>
    <row r="812">
      <c r="AI812" s="11"/>
      <c r="AM812" s="11"/>
    </row>
    <row r="813">
      <c r="AI813" s="11"/>
      <c r="AM813" s="11"/>
    </row>
    <row r="814">
      <c r="AI814" s="11"/>
      <c r="AM814" s="11"/>
    </row>
    <row r="815">
      <c r="AI815" s="11"/>
      <c r="AM815" s="11"/>
    </row>
    <row r="816">
      <c r="AI816" s="11"/>
      <c r="AM816" s="11"/>
    </row>
    <row r="817">
      <c r="AI817" s="11"/>
      <c r="AM817" s="11"/>
    </row>
    <row r="818">
      <c r="AI818" s="11"/>
      <c r="AM818" s="11"/>
    </row>
    <row r="819">
      <c r="AI819" s="11"/>
      <c r="AM819" s="11"/>
    </row>
    <row r="820">
      <c r="AI820" s="11"/>
      <c r="AM820" s="11"/>
    </row>
    <row r="821">
      <c r="AI821" s="11"/>
      <c r="AM821" s="11"/>
    </row>
    <row r="822">
      <c r="AI822" s="11"/>
      <c r="AM822" s="11"/>
    </row>
    <row r="823">
      <c r="AI823" s="11"/>
      <c r="AM823" s="11"/>
    </row>
    <row r="824">
      <c r="AI824" s="11"/>
      <c r="AM824" s="11"/>
    </row>
    <row r="825">
      <c r="AI825" s="11"/>
      <c r="AM825" s="11"/>
    </row>
    <row r="826">
      <c r="AI826" s="11"/>
      <c r="AM826" s="11"/>
    </row>
    <row r="827">
      <c r="AI827" s="11"/>
      <c r="AM827" s="11"/>
    </row>
    <row r="828">
      <c r="AI828" s="11"/>
      <c r="AM828" s="11"/>
    </row>
    <row r="829">
      <c r="AI829" s="11"/>
      <c r="AM829" s="11"/>
    </row>
    <row r="830">
      <c r="AI830" s="11"/>
      <c r="AM830" s="11"/>
    </row>
    <row r="831">
      <c r="AI831" s="11"/>
      <c r="AM831" s="11"/>
    </row>
    <row r="832">
      <c r="AI832" s="11"/>
      <c r="AM832" s="11"/>
    </row>
    <row r="833">
      <c r="AI833" s="11"/>
      <c r="AM833" s="11"/>
    </row>
    <row r="834">
      <c r="AI834" s="11"/>
      <c r="AM834" s="11"/>
    </row>
    <row r="835">
      <c r="AI835" s="11"/>
      <c r="AM835" s="11"/>
    </row>
    <row r="836">
      <c r="AI836" s="11"/>
      <c r="AM836" s="11"/>
    </row>
    <row r="837">
      <c r="AI837" s="11"/>
      <c r="AM837" s="11"/>
    </row>
    <row r="838">
      <c r="AI838" s="11"/>
      <c r="AM838" s="11"/>
    </row>
    <row r="839">
      <c r="AI839" s="11"/>
      <c r="AM839" s="11"/>
    </row>
    <row r="840">
      <c r="AI840" s="11"/>
      <c r="AM840" s="11"/>
    </row>
    <row r="841">
      <c r="AI841" s="11"/>
      <c r="AM841" s="11"/>
    </row>
    <row r="842">
      <c r="AI842" s="11"/>
      <c r="AM842" s="11"/>
    </row>
    <row r="843">
      <c r="AI843" s="11"/>
      <c r="AM843" s="11"/>
    </row>
    <row r="844">
      <c r="AI844" s="11"/>
      <c r="AM844" s="11"/>
    </row>
    <row r="845">
      <c r="AI845" s="11"/>
      <c r="AM845" s="11"/>
    </row>
    <row r="846">
      <c r="AI846" s="11"/>
      <c r="AM846" s="11"/>
    </row>
    <row r="847">
      <c r="AI847" s="11"/>
      <c r="AM847" s="11"/>
    </row>
    <row r="848">
      <c r="AI848" s="11"/>
      <c r="AM848" s="11"/>
    </row>
    <row r="849">
      <c r="AI849" s="11"/>
      <c r="AM849" s="11"/>
    </row>
    <row r="850">
      <c r="AI850" s="11"/>
      <c r="AM850" s="11"/>
    </row>
    <row r="851">
      <c r="AI851" s="11"/>
      <c r="AM851" s="11"/>
    </row>
    <row r="852">
      <c r="AI852" s="11"/>
      <c r="AM852" s="11"/>
    </row>
    <row r="853">
      <c r="AI853" s="11"/>
      <c r="AM853" s="11"/>
    </row>
    <row r="854">
      <c r="AI854" s="11"/>
      <c r="AM854" s="11"/>
    </row>
    <row r="855">
      <c r="AI855" s="11"/>
      <c r="AM855" s="11"/>
    </row>
    <row r="856">
      <c r="AI856" s="11"/>
      <c r="AM856" s="11"/>
    </row>
    <row r="857">
      <c r="AI857" s="11"/>
      <c r="AM857" s="11"/>
    </row>
    <row r="858">
      <c r="AI858" s="11"/>
      <c r="AM858" s="11"/>
    </row>
    <row r="859">
      <c r="AI859" s="11"/>
      <c r="AM859" s="11"/>
    </row>
    <row r="860">
      <c r="AI860" s="11"/>
      <c r="AM860" s="11"/>
    </row>
    <row r="861">
      <c r="AI861" s="11"/>
      <c r="AM861" s="11"/>
    </row>
    <row r="862">
      <c r="AI862" s="11"/>
      <c r="AM862" s="11"/>
    </row>
    <row r="863">
      <c r="AI863" s="11"/>
      <c r="AM863" s="11"/>
    </row>
    <row r="864">
      <c r="AI864" s="11"/>
      <c r="AM864" s="11"/>
    </row>
    <row r="865">
      <c r="AI865" s="11"/>
      <c r="AM865" s="11"/>
    </row>
    <row r="866">
      <c r="AI866" s="11"/>
      <c r="AM866" s="11"/>
    </row>
    <row r="867">
      <c r="AI867" s="11"/>
      <c r="AM867" s="11"/>
    </row>
    <row r="868">
      <c r="AI868" s="11"/>
      <c r="AM868" s="11"/>
    </row>
    <row r="869">
      <c r="AI869" s="11"/>
      <c r="AM869" s="11"/>
    </row>
    <row r="870">
      <c r="AI870" s="11"/>
      <c r="AM870" s="11"/>
    </row>
    <row r="871">
      <c r="AI871" s="11"/>
      <c r="AM871" s="11"/>
    </row>
    <row r="872">
      <c r="AI872" s="11"/>
      <c r="AM872" s="11"/>
    </row>
    <row r="873">
      <c r="AI873" s="11"/>
      <c r="AM873" s="11"/>
    </row>
    <row r="874">
      <c r="AI874" s="11"/>
      <c r="AM874" s="11"/>
    </row>
    <row r="875">
      <c r="AI875" s="11"/>
      <c r="AM875" s="11"/>
    </row>
    <row r="876">
      <c r="AI876" s="11"/>
      <c r="AM876" s="11"/>
    </row>
    <row r="877">
      <c r="AI877" s="11"/>
      <c r="AM877" s="11"/>
    </row>
    <row r="878">
      <c r="AI878" s="11"/>
      <c r="AM878" s="11"/>
    </row>
    <row r="879">
      <c r="AI879" s="11"/>
      <c r="AM879" s="11"/>
    </row>
    <row r="880">
      <c r="AI880" s="11"/>
      <c r="AM880" s="11"/>
    </row>
    <row r="881">
      <c r="AI881" s="11"/>
      <c r="AM881" s="11"/>
    </row>
    <row r="882">
      <c r="AI882" s="11"/>
      <c r="AM882" s="11"/>
    </row>
    <row r="883">
      <c r="AI883" s="11"/>
      <c r="AM883" s="11"/>
    </row>
    <row r="884">
      <c r="AI884" s="11"/>
      <c r="AM884" s="11"/>
    </row>
    <row r="885">
      <c r="AI885" s="11"/>
      <c r="AM885" s="11"/>
    </row>
    <row r="886">
      <c r="AI886" s="11"/>
      <c r="AM886" s="11"/>
    </row>
    <row r="887">
      <c r="AI887" s="11"/>
      <c r="AM887" s="11"/>
    </row>
    <row r="888">
      <c r="AI888" s="11"/>
      <c r="AM888" s="11"/>
    </row>
    <row r="889">
      <c r="AI889" s="11"/>
      <c r="AM889" s="11"/>
    </row>
    <row r="890">
      <c r="AI890" s="11"/>
      <c r="AM890" s="11"/>
    </row>
    <row r="891">
      <c r="AI891" s="11"/>
      <c r="AM891" s="11"/>
    </row>
    <row r="892">
      <c r="AI892" s="11"/>
      <c r="AM892" s="11"/>
    </row>
    <row r="893">
      <c r="AI893" s="11"/>
      <c r="AM893" s="11"/>
    </row>
    <row r="894">
      <c r="AI894" s="11"/>
      <c r="AM894" s="11"/>
    </row>
    <row r="895">
      <c r="AI895" s="11"/>
      <c r="AM895" s="11"/>
    </row>
    <row r="896">
      <c r="AI896" s="11"/>
      <c r="AM896" s="11"/>
    </row>
    <row r="897">
      <c r="AI897" s="11"/>
      <c r="AM897" s="11"/>
    </row>
    <row r="898">
      <c r="AI898" s="11"/>
      <c r="AM898" s="11"/>
    </row>
    <row r="899">
      <c r="AI899" s="11"/>
      <c r="AM899" s="11"/>
    </row>
    <row r="900">
      <c r="AI900" s="11"/>
      <c r="AM900" s="11"/>
    </row>
    <row r="901">
      <c r="AI901" s="11"/>
      <c r="AM901" s="11"/>
    </row>
    <row r="902">
      <c r="AI902" s="11"/>
      <c r="AM902" s="11"/>
    </row>
    <row r="903">
      <c r="AI903" s="11"/>
      <c r="AM903" s="11"/>
    </row>
    <row r="904">
      <c r="AI904" s="11"/>
      <c r="AM904" s="11"/>
    </row>
    <row r="905">
      <c r="AI905" s="11"/>
      <c r="AM905" s="11"/>
    </row>
    <row r="906">
      <c r="AI906" s="11"/>
      <c r="AM906" s="11"/>
    </row>
    <row r="907">
      <c r="AI907" s="11"/>
      <c r="AM907" s="11"/>
    </row>
    <row r="908">
      <c r="AI908" s="11"/>
      <c r="AM908" s="11"/>
    </row>
    <row r="909">
      <c r="AI909" s="11"/>
      <c r="AM909" s="11"/>
    </row>
    <row r="910">
      <c r="AI910" s="11"/>
      <c r="AM910" s="11"/>
    </row>
    <row r="911">
      <c r="AI911" s="11"/>
      <c r="AM911" s="11"/>
    </row>
    <row r="912">
      <c r="AI912" s="11"/>
      <c r="AM912" s="11"/>
    </row>
    <row r="913">
      <c r="AI913" s="11"/>
      <c r="AM913" s="11"/>
    </row>
    <row r="914">
      <c r="AI914" s="11"/>
      <c r="AM914" s="11"/>
    </row>
    <row r="915">
      <c r="AI915" s="11"/>
      <c r="AM915" s="11"/>
    </row>
    <row r="916">
      <c r="AI916" s="11"/>
      <c r="AM916" s="11"/>
    </row>
    <row r="917">
      <c r="AI917" s="11"/>
      <c r="AM917" s="11"/>
    </row>
    <row r="918">
      <c r="AI918" s="11"/>
      <c r="AM918" s="11"/>
    </row>
    <row r="919">
      <c r="AI919" s="11"/>
      <c r="AM919" s="11"/>
    </row>
    <row r="920">
      <c r="AI920" s="11"/>
      <c r="AM920" s="11"/>
    </row>
    <row r="921">
      <c r="AI921" s="11"/>
      <c r="AM921" s="11"/>
    </row>
    <row r="922">
      <c r="AI922" s="11"/>
      <c r="AM922" s="11"/>
    </row>
    <row r="923">
      <c r="AI923" s="11"/>
      <c r="AM923" s="11"/>
    </row>
    <row r="924">
      <c r="AI924" s="11"/>
      <c r="AM924" s="11"/>
    </row>
    <row r="925">
      <c r="AI925" s="11"/>
      <c r="AM925" s="11"/>
    </row>
    <row r="926">
      <c r="AI926" s="11"/>
      <c r="AM926" s="11"/>
    </row>
    <row r="927">
      <c r="AI927" s="11"/>
      <c r="AM927" s="11"/>
    </row>
    <row r="928">
      <c r="AI928" s="11"/>
      <c r="AM928" s="11"/>
    </row>
    <row r="929">
      <c r="AI929" s="11"/>
      <c r="AM929" s="11"/>
    </row>
    <row r="930">
      <c r="AI930" s="11"/>
      <c r="AM930" s="11"/>
    </row>
    <row r="931">
      <c r="AI931" s="11"/>
      <c r="AM931" s="11"/>
    </row>
    <row r="932">
      <c r="AI932" s="11"/>
      <c r="AM932" s="11"/>
    </row>
    <row r="933">
      <c r="AI933" s="11"/>
      <c r="AM933" s="11"/>
    </row>
    <row r="934">
      <c r="AI934" s="11"/>
      <c r="AM934" s="11"/>
    </row>
    <row r="935">
      <c r="AI935" s="11"/>
      <c r="AM935" s="11"/>
    </row>
    <row r="936">
      <c r="AI936" s="11"/>
      <c r="AM936" s="11"/>
    </row>
    <row r="937">
      <c r="AI937" s="11"/>
      <c r="AM937" s="11"/>
    </row>
    <row r="938">
      <c r="AI938" s="11"/>
      <c r="AM938" s="11"/>
    </row>
    <row r="939">
      <c r="AI939" s="11"/>
      <c r="AM939" s="11"/>
    </row>
    <row r="940">
      <c r="AI940" s="11"/>
      <c r="AM940" s="11"/>
    </row>
    <row r="941">
      <c r="AI941" s="11"/>
      <c r="AM941" s="11"/>
    </row>
    <row r="942">
      <c r="AI942" s="11"/>
      <c r="AM942" s="11"/>
    </row>
    <row r="943">
      <c r="AI943" s="11"/>
      <c r="AM943" s="11"/>
    </row>
    <row r="944">
      <c r="AI944" s="11"/>
      <c r="AM944" s="11"/>
    </row>
    <row r="945">
      <c r="AI945" s="11"/>
      <c r="AM945" s="11"/>
    </row>
    <row r="946">
      <c r="AI946" s="11"/>
      <c r="AM946" s="11"/>
    </row>
    <row r="947">
      <c r="AI947" s="11"/>
      <c r="AM947" s="11"/>
    </row>
    <row r="948">
      <c r="AI948" s="11"/>
      <c r="AM948" s="11"/>
    </row>
    <row r="949">
      <c r="AI949" s="11"/>
      <c r="AM949" s="11"/>
    </row>
    <row r="950">
      <c r="AI950" s="11"/>
      <c r="AM950" s="11"/>
    </row>
    <row r="951">
      <c r="AI951" s="11"/>
      <c r="AM951" s="11"/>
    </row>
    <row r="952">
      <c r="AI952" s="11"/>
      <c r="AM952" s="11"/>
    </row>
    <row r="953">
      <c r="AI953" s="11"/>
      <c r="AM953" s="11"/>
    </row>
    <row r="954">
      <c r="AI954" s="11"/>
      <c r="AM954" s="11"/>
    </row>
    <row r="955">
      <c r="AI955" s="11"/>
      <c r="AM955" s="11"/>
    </row>
    <row r="956">
      <c r="AI956" s="11"/>
      <c r="AM956" s="11"/>
    </row>
    <row r="957">
      <c r="AI957" s="11"/>
      <c r="AM957" s="11"/>
    </row>
    <row r="958">
      <c r="AI958" s="11"/>
      <c r="AM958" s="11"/>
    </row>
    <row r="959">
      <c r="AI959" s="11"/>
      <c r="AM959" s="11"/>
    </row>
    <row r="960">
      <c r="AI960" s="11"/>
      <c r="AM960" s="11"/>
    </row>
    <row r="961">
      <c r="AI961" s="11"/>
      <c r="AM961" s="11"/>
    </row>
    <row r="962">
      <c r="AI962" s="11"/>
      <c r="AM962" s="11"/>
    </row>
    <row r="963">
      <c r="AI963" s="11"/>
      <c r="AM963" s="11"/>
    </row>
    <row r="964">
      <c r="AI964" s="11"/>
      <c r="AM964" s="11"/>
    </row>
    <row r="965">
      <c r="AI965" s="11"/>
      <c r="AM965" s="11"/>
    </row>
    <row r="966">
      <c r="AI966" s="11"/>
      <c r="AM966" s="11"/>
    </row>
    <row r="967">
      <c r="AI967" s="11"/>
      <c r="AM967" s="11"/>
    </row>
    <row r="968">
      <c r="AI968" s="11"/>
      <c r="AM968" s="11"/>
    </row>
    <row r="969">
      <c r="AI969" s="11"/>
      <c r="AM969" s="11"/>
    </row>
    <row r="970">
      <c r="AI970" s="11"/>
      <c r="AM970" s="11"/>
    </row>
    <row r="971">
      <c r="AI971" s="11"/>
      <c r="AM971" s="11"/>
    </row>
    <row r="972">
      <c r="AI972" s="11"/>
      <c r="AM972" s="11"/>
    </row>
    <row r="973">
      <c r="AI973" s="11"/>
      <c r="AM973" s="11"/>
    </row>
    <row r="974">
      <c r="AI974" s="11"/>
      <c r="AM974" s="11"/>
    </row>
    <row r="975">
      <c r="AI975" s="11"/>
      <c r="AM975" s="11"/>
    </row>
    <row r="976">
      <c r="AI976" s="11"/>
      <c r="AM976" s="11"/>
    </row>
    <row r="977">
      <c r="AI977" s="11"/>
      <c r="AM977" s="11"/>
    </row>
    <row r="978">
      <c r="AI978" s="11"/>
      <c r="AM978" s="11"/>
    </row>
    <row r="979">
      <c r="AI979" s="11"/>
      <c r="AM979" s="11"/>
    </row>
    <row r="980">
      <c r="AI980" s="11"/>
      <c r="AM980" s="11"/>
    </row>
    <row r="981">
      <c r="AI981" s="11"/>
      <c r="AM981" s="11"/>
    </row>
    <row r="982">
      <c r="AI982" s="11"/>
      <c r="AM982" s="11"/>
    </row>
    <row r="983">
      <c r="AI983" s="11"/>
      <c r="AM983" s="11"/>
    </row>
    <row r="984">
      <c r="AI984" s="11"/>
      <c r="AM984" s="11"/>
    </row>
    <row r="985">
      <c r="AI985" s="11"/>
      <c r="AM985" s="11"/>
    </row>
    <row r="986">
      <c r="AI986" s="11"/>
      <c r="AM986" s="11"/>
    </row>
    <row r="987">
      <c r="AI987" s="11"/>
      <c r="AM987" s="11"/>
    </row>
    <row r="988">
      <c r="AI988" s="11"/>
      <c r="AM988" s="11"/>
    </row>
    <row r="989">
      <c r="AI989" s="11"/>
      <c r="AM989" s="11"/>
    </row>
    <row r="990">
      <c r="AI990" s="11"/>
      <c r="AM990" s="11"/>
    </row>
    <row r="991">
      <c r="AI991" s="11"/>
      <c r="AM991" s="11"/>
    </row>
    <row r="992">
      <c r="AI992" s="11"/>
      <c r="AM992" s="11"/>
    </row>
    <row r="993">
      <c r="AI993" s="11"/>
      <c r="AM993" s="11"/>
    </row>
    <row r="994">
      <c r="AI994" s="11"/>
      <c r="AM994" s="11"/>
    </row>
    <row r="995">
      <c r="AI995" s="11"/>
      <c r="AM995" s="11"/>
    </row>
    <row r="996">
      <c r="AI996" s="11"/>
      <c r="AM996" s="11"/>
    </row>
    <row r="997">
      <c r="AI997" s="11"/>
      <c r="AM997" s="11"/>
    </row>
  </sheetData>
  <mergeCells count="11">
    <mergeCell ref="H5:I5"/>
    <mergeCell ref="A41:O41"/>
    <mergeCell ref="J43:N43"/>
    <mergeCell ref="J44:N44"/>
    <mergeCell ref="J1:O1"/>
    <mergeCell ref="J2:O2"/>
    <mergeCell ref="A3:C3"/>
    <mergeCell ref="D3:G3"/>
    <mergeCell ref="J3:O3"/>
    <mergeCell ref="J4:O4"/>
    <mergeCell ref="F5:G5"/>
  </mergeCells>
  <dataValidations>
    <dataValidation type="list" allowBlank="1" sqref="B6:C40">
      <formula1>"1,2,3,4,5,6,7,8,9"</formula1>
    </dataValidation>
    <dataValidation type="list" allowBlank="1" sqref="E6:E40">
      <formula1>"None,T,M.P.,BIO,L.S.R."</formula1>
    </dataValidation>
    <dataValidation type="custom" allowBlank="1" showDropDown="1" sqref="A6:A40">
      <formula1>OR(NOT(ISERROR(DATEVALUE(A6))), AND(ISNUMBER(A6), LEFT(CELL("format", A6))="D"))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5.57"/>
    <col customWidth="1" min="3" max="3" width="14.86"/>
    <col customWidth="1" min="4" max="7" width="7.29"/>
    <col customWidth="1" min="8" max="8" width="9.14"/>
    <col customWidth="1" min="9" max="9" width="8.71"/>
    <col customWidth="1" min="10" max="10" width="8.14"/>
    <col customWidth="1" min="11" max="11" width="7.14"/>
    <col customWidth="1" min="12" max="12" width="8.0"/>
    <col customWidth="1" min="13" max="13" width="7.86"/>
    <col customWidth="1" hidden="1" min="14" max="33" width="8.71"/>
    <col customWidth="1" hidden="1" min="34" max="34" width="9.43"/>
    <col customWidth="1" hidden="1" min="35" max="35" width="16.71"/>
    <col customWidth="1" hidden="1" min="36" max="36" width="18.0"/>
    <col customWidth="1" hidden="1" min="37" max="37" width="8.71"/>
    <col customWidth="1" hidden="1" min="38" max="38" width="25.57"/>
    <col customWidth="1" hidden="1" min="39" max="39" width="19.71"/>
    <col customWidth="1" hidden="1" min="40" max="40" width="8.71"/>
    <col customWidth="1" hidden="1" min="41" max="41" width="24.71"/>
    <col customWidth="1" hidden="1" min="42" max="42" width="25.71"/>
    <col customWidth="1" hidden="1" min="43" max="43" width="19.29"/>
    <col customWidth="1" hidden="1" min="44" max="53" width="8.71"/>
  </cols>
  <sheetData>
    <row r="1">
      <c r="A1" s="67"/>
      <c r="B1" s="68"/>
      <c r="C1" s="68"/>
      <c r="D1" s="68"/>
      <c r="E1" s="68"/>
      <c r="F1" s="68"/>
      <c r="G1" s="68"/>
      <c r="H1" s="68"/>
      <c r="J1" s="69" t="s">
        <v>65</v>
      </c>
      <c r="K1" s="68"/>
      <c r="L1" s="68"/>
      <c r="M1" s="68"/>
    </row>
    <row r="2" ht="17.25" customHeight="1">
      <c r="A2" s="70" t="s">
        <v>66</v>
      </c>
      <c r="B2" s="14"/>
      <c r="C2" s="15"/>
      <c r="D2" s="71" t="s">
        <v>67</v>
      </c>
      <c r="E2" s="14"/>
      <c r="F2" s="14"/>
      <c r="G2" s="14"/>
      <c r="H2" s="14"/>
      <c r="I2" s="15"/>
      <c r="J2" s="12" t="s">
        <v>24</v>
      </c>
    </row>
    <row r="3" ht="17.25" customHeight="1">
      <c r="A3" s="72" t="s">
        <v>68</v>
      </c>
      <c r="B3" s="14"/>
      <c r="C3" s="15"/>
      <c r="D3" s="73"/>
      <c r="E3" s="14"/>
      <c r="F3" s="14"/>
      <c r="G3" s="14"/>
      <c r="H3" s="14"/>
      <c r="I3" s="15"/>
      <c r="J3" s="74" t="s">
        <v>69</v>
      </c>
      <c r="P3" s="23" t="s">
        <v>70</v>
      </c>
      <c r="T3">
        <f>sum(D26:D27)</f>
        <v>0</v>
      </c>
    </row>
    <row r="4" ht="17.25" customHeight="1">
      <c r="A4" s="72" t="s">
        <v>71</v>
      </c>
      <c r="B4" s="14"/>
      <c r="C4" s="15"/>
      <c r="D4" s="75"/>
      <c r="E4" s="14"/>
      <c r="F4" s="14"/>
      <c r="G4" s="14"/>
      <c r="H4" s="14"/>
      <c r="I4" s="15"/>
      <c r="J4" s="76" t="s">
        <v>72</v>
      </c>
    </row>
    <row r="5" ht="17.25" customHeight="1">
      <c r="A5" s="77" t="s">
        <v>73</v>
      </c>
      <c r="B5" s="14"/>
      <c r="C5" s="15"/>
      <c r="D5" s="78" t="s">
        <v>74</v>
      </c>
      <c r="E5" s="77" t="s">
        <v>75</v>
      </c>
      <c r="F5" s="14"/>
      <c r="G5" s="14"/>
      <c r="H5" s="14"/>
      <c r="I5" s="14"/>
      <c r="J5" s="14"/>
      <c r="K5" s="14"/>
      <c r="L5" s="14"/>
      <c r="M5" s="15"/>
      <c r="P5" s="23" t="s">
        <v>76</v>
      </c>
      <c r="T5" s="23">
        <v>29.23</v>
      </c>
      <c r="U5">
        <f t="shared" ref="U5:U6" si="1">sum(D26)</f>
        <v>0</v>
      </c>
      <c r="V5">
        <f t="shared" ref="V5:V7" si="2">sum(T5*U5)</f>
        <v>0</v>
      </c>
    </row>
    <row r="6" ht="12.0" customHeight="1">
      <c r="A6" s="79" t="s">
        <v>77</v>
      </c>
      <c r="D6" s="80"/>
      <c r="E6" s="81" t="str">
        <f>if(D6&gt;0,"Project installed during business hours (8:30am - 5:00pm)","")</f>
        <v/>
      </c>
      <c r="M6" s="56"/>
      <c r="P6" s="23" t="s">
        <v>78</v>
      </c>
      <c r="T6" s="23">
        <v>14.62</v>
      </c>
      <c r="U6">
        <f t="shared" si="1"/>
        <v>0</v>
      </c>
      <c r="V6">
        <f t="shared" si="2"/>
        <v>0</v>
      </c>
    </row>
    <row r="7" ht="12.0" customHeight="1">
      <c r="A7" s="82" t="s">
        <v>79</v>
      </c>
      <c r="D7" s="83"/>
      <c r="E7" s="84" t="str">
        <f>if(D7&gt;0,"Project installed after business hours (5:00pm - 8:29am)","")</f>
        <v/>
      </c>
      <c r="M7" s="56"/>
      <c r="P7" s="23" t="s">
        <v>80</v>
      </c>
      <c r="T7" s="23">
        <v>14.62</v>
      </c>
      <c r="U7" t="str">
        <f>sum(#REF!)</f>
        <v>#REF!</v>
      </c>
      <c r="V7" t="str">
        <f t="shared" si="2"/>
        <v>#REF!</v>
      </c>
    </row>
    <row r="8" ht="12.0" customHeight="1">
      <c r="A8" s="85" t="s">
        <v>81</v>
      </c>
      <c r="D8" s="86">
        <f>SUM('Daily Time  Readings Log'!E44)</f>
        <v>0</v>
      </c>
      <c r="E8" s="87"/>
      <c r="M8" s="56"/>
      <c r="P8" s="23" t="s">
        <v>82</v>
      </c>
      <c r="T8" s="88">
        <f>max('Daily Time  Readings Log'!A6:A40)</f>
        <v>0</v>
      </c>
    </row>
    <row r="9" ht="12.0" customHeight="1">
      <c r="A9" s="82" t="s">
        <v>83</v>
      </c>
      <c r="D9" s="83"/>
      <c r="E9" s="84" t="str">
        <f>if(D9&gt;0,"Used to help establish the extent of damage, moisture mapping, and documentation","")</f>
        <v/>
      </c>
      <c r="M9" s="56"/>
    </row>
    <row r="10" ht="12.0" customHeight="1">
      <c r="A10" s="89" t="s">
        <v>84</v>
      </c>
      <c r="D10" s="86"/>
      <c r="E10" s="81" t="str">
        <f>if(D10&gt;0,"Entrusted recommends mold test to be performed at client's expense","")</f>
        <v/>
      </c>
      <c r="M10" s="56"/>
    </row>
    <row r="11" ht="12.0" customHeight="1">
      <c r="A11" s="82" t="s">
        <v>85</v>
      </c>
      <c r="D11" s="83"/>
      <c r="E11" s="84" t="str">
        <f>if(D11&gt;0,"Required by EPA - Property built prior to 1978","")</f>
        <v/>
      </c>
      <c r="M11" s="56"/>
    </row>
    <row r="12" ht="12.0" customHeight="1">
      <c r="A12" s="89" t="s">
        <v>86</v>
      </c>
      <c r="D12" s="86"/>
      <c r="E12" s="81"/>
      <c r="M12" s="56"/>
    </row>
    <row r="13" ht="12.0" customHeight="1">
      <c r="A13" s="82" t="s">
        <v>87</v>
      </c>
      <c r="D13" s="90"/>
      <c r="E13" s="84"/>
      <c r="M13" s="56"/>
    </row>
    <row r="14" ht="12.0" customHeight="1">
      <c r="A14" s="89" t="s">
        <v>88</v>
      </c>
      <c r="D14" s="86"/>
      <c r="E14" s="81"/>
      <c r="M14" s="56"/>
    </row>
    <row r="15" ht="12.0" customHeight="1">
      <c r="A15" s="82" t="s">
        <v>89</v>
      </c>
      <c r="D15" s="90"/>
      <c r="E15" s="84"/>
      <c r="M15" s="56"/>
    </row>
    <row r="16" ht="12.0" customHeight="1">
      <c r="A16" s="89" t="s">
        <v>90</v>
      </c>
      <c r="D16" s="86"/>
      <c r="E16" s="81"/>
      <c r="M16" s="56"/>
    </row>
    <row r="17" ht="12.0" customHeight="1">
      <c r="A17" s="91" t="s">
        <v>91</v>
      </c>
      <c r="D17" s="83"/>
      <c r="E17" s="84" t="str">
        <f t="shared" ref="E17:E23" si="3">if(D17&gt;0,"Used for personal protection","")</f>
        <v/>
      </c>
      <c r="M17" s="56"/>
    </row>
    <row r="18" ht="12.0" customHeight="1">
      <c r="A18" s="89" t="s">
        <v>92</v>
      </c>
      <c r="D18" s="80"/>
      <c r="E18" s="81" t="str">
        <f t="shared" si="3"/>
        <v/>
      </c>
      <c r="M18" s="56"/>
    </row>
    <row r="19" ht="12.0" customHeight="1">
      <c r="A19" s="82" t="s">
        <v>93</v>
      </c>
      <c r="D19" s="90"/>
      <c r="E19" s="84" t="str">
        <f t="shared" si="3"/>
        <v/>
      </c>
      <c r="M19" s="56"/>
    </row>
    <row r="20" ht="12.0" customHeight="1">
      <c r="A20" s="89" t="s">
        <v>94</v>
      </c>
      <c r="D20" s="86"/>
      <c r="E20" s="81" t="str">
        <f t="shared" si="3"/>
        <v/>
      </c>
      <c r="M20" s="56"/>
    </row>
    <row r="21" ht="12.0" customHeight="1">
      <c r="A21" s="82" t="s">
        <v>95</v>
      </c>
      <c r="D21" s="90"/>
      <c r="E21" s="84" t="str">
        <f t="shared" si="3"/>
        <v/>
      </c>
      <c r="M21" s="56"/>
    </row>
    <row r="22" ht="12.0" customHeight="1">
      <c r="A22" s="89" t="s">
        <v>96</v>
      </c>
      <c r="D22" s="86"/>
      <c r="E22" s="81" t="str">
        <f t="shared" si="3"/>
        <v/>
      </c>
      <c r="M22" s="56"/>
    </row>
    <row r="23" ht="12.0" customHeight="1">
      <c r="A23" s="82" t="s">
        <v>97</v>
      </c>
      <c r="D23" s="90"/>
      <c r="E23" s="84" t="str">
        <f t="shared" si="3"/>
        <v/>
      </c>
      <c r="M23" s="56"/>
    </row>
    <row r="24" ht="12.0" customHeight="1">
      <c r="A24" s="85" t="s">
        <v>98</v>
      </c>
      <c r="D24" s="86"/>
      <c r="E24" s="81" t="str">
        <f t="shared" ref="E24:E25" si="4">if(D24&gt;0,"Used to dump debris removed from jobsite","")</f>
        <v/>
      </c>
      <c r="M24" s="56"/>
    </row>
    <row r="25" ht="12.0" customHeight="1">
      <c r="A25" s="91" t="s">
        <v>99</v>
      </c>
      <c r="D25" s="90"/>
      <c r="E25" s="84" t="str">
        <f t="shared" si="4"/>
        <v/>
      </c>
      <c r="M25" s="56"/>
    </row>
    <row r="26" ht="12.0" customHeight="1">
      <c r="A26" s="89" t="s">
        <v>100</v>
      </c>
      <c r="D26" s="80"/>
      <c r="E26" s="81" t="str">
        <f>if(D26&gt;0,"Disinfect each dehu before installing","")</f>
        <v/>
      </c>
      <c r="M26" s="56"/>
    </row>
    <row r="27" ht="12.0" customHeight="1">
      <c r="A27" s="82" t="s">
        <v>101</v>
      </c>
      <c r="D27" s="83"/>
      <c r="E27" s="84" t="str">
        <f>if(D27&gt;0,"Disinfect each air scrubber before installing","")</f>
        <v/>
      </c>
      <c r="M27" s="56"/>
    </row>
    <row r="28" ht="12.0" customHeight="1">
      <c r="A28" s="85" t="s">
        <v>102</v>
      </c>
      <c r="D28" s="80"/>
      <c r="E28" s="81" t="str">
        <f>if(D28&gt;0,"Disinfect each air mover before installing","")</f>
        <v/>
      </c>
      <c r="M28" s="56"/>
    </row>
    <row r="29" ht="12.0" customHeight="1">
      <c r="A29" s="82" t="s">
        <v>103</v>
      </c>
      <c r="D29" s="90"/>
      <c r="E29" s="84"/>
      <c r="M29" s="56"/>
    </row>
    <row r="30" ht="12.0" customHeight="1">
      <c r="A30" s="89" t="s">
        <v>104</v>
      </c>
      <c r="D30" s="86"/>
      <c r="E30" s="92"/>
      <c r="M30" s="56"/>
    </row>
    <row r="31" ht="12.0" customHeight="1">
      <c r="A31" s="82" t="s">
        <v>105</v>
      </c>
      <c r="D31" s="90"/>
      <c r="E31" s="84" t="str">
        <f>if(D31&gt;0,"Used for personal protection","")</f>
        <v/>
      </c>
      <c r="M31" s="56"/>
    </row>
    <row r="32" ht="12.0" customHeight="1">
      <c r="A32" s="89" t="s">
        <v>106</v>
      </c>
      <c r="D32" s="86"/>
      <c r="E32" s="92"/>
      <c r="M32" s="56"/>
    </row>
    <row r="33" ht="12.0" customHeight="1">
      <c r="A33" s="82" t="s">
        <v>107</v>
      </c>
      <c r="D33" s="90"/>
      <c r="E33" s="84" t="str">
        <f>if(D33&gt;0,"Used to protect floor from damage","")</f>
        <v/>
      </c>
      <c r="M33" s="56"/>
    </row>
    <row r="34" ht="12.0" customHeight="1">
      <c r="A34" s="93" t="s">
        <v>108</v>
      </c>
      <c r="D34" s="86"/>
      <c r="E34" s="81" t="str">
        <f>if(D34&gt;0,"Matterport completed for documentation","")</f>
        <v/>
      </c>
      <c r="M34" s="56"/>
    </row>
    <row r="35" ht="12.0" customHeight="1">
      <c r="A35" s="91" t="s">
        <v>109</v>
      </c>
      <c r="D35" s="90"/>
      <c r="E35" s="84"/>
      <c r="M35" s="56"/>
    </row>
    <row r="36" ht="12.0" customHeight="1">
      <c r="A36" s="85" t="s">
        <v>110</v>
      </c>
      <c r="D36" s="86"/>
      <c r="E36" s="81"/>
      <c r="M36" s="56"/>
    </row>
    <row r="37" ht="12.0" customHeight="1">
      <c r="A37" s="91" t="s">
        <v>111</v>
      </c>
      <c r="D37" s="83">
        <v>1.0</v>
      </c>
      <c r="E37" s="94" t="s">
        <v>112</v>
      </c>
      <c r="M37" s="56"/>
    </row>
    <row r="38" ht="12.0" customHeight="1">
      <c r="A38" s="85" t="s">
        <v>113</v>
      </c>
      <c r="D38" s="86"/>
      <c r="E38" s="81"/>
      <c r="M38" s="56"/>
    </row>
    <row r="39" ht="12.0" customHeight="1">
      <c r="A39" s="91" t="s">
        <v>114</v>
      </c>
      <c r="D39" s="90"/>
      <c r="E39" s="84"/>
      <c r="M39" s="56"/>
    </row>
    <row r="40" ht="12.0" customHeight="1">
      <c r="A40" s="95" t="s">
        <v>75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7"/>
    </row>
    <row r="41" ht="15.0" customHeight="1">
      <c r="A41" s="9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99"/>
    </row>
    <row r="42" ht="15.75" customHeight="1">
      <c r="A42" s="100"/>
      <c r="M42" s="56"/>
    </row>
    <row r="43" ht="15.75" customHeight="1">
      <c r="A43" s="101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7"/>
    </row>
    <row r="44" ht="15.75" customHeight="1">
      <c r="A44" s="102" t="s">
        <v>115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99"/>
    </row>
    <row r="45" ht="15.75" customHeight="1">
      <c r="A45" s="101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3">
    <mergeCell ref="A18:C18"/>
    <mergeCell ref="A19:C19"/>
    <mergeCell ref="A20:C20"/>
    <mergeCell ref="A21:C21"/>
    <mergeCell ref="A22:C22"/>
    <mergeCell ref="A23:C23"/>
    <mergeCell ref="A24:C24"/>
    <mergeCell ref="A32:C32"/>
    <mergeCell ref="A33:C33"/>
    <mergeCell ref="A34:C34"/>
    <mergeCell ref="A35:C35"/>
    <mergeCell ref="A36:C36"/>
    <mergeCell ref="A37:C37"/>
    <mergeCell ref="A38:C38"/>
    <mergeCell ref="A39:C39"/>
    <mergeCell ref="A25:C25"/>
    <mergeCell ref="A26:C26"/>
    <mergeCell ref="A27:C27"/>
    <mergeCell ref="A28:C28"/>
    <mergeCell ref="A29:C29"/>
    <mergeCell ref="A30:C30"/>
    <mergeCell ref="A31:C31"/>
    <mergeCell ref="E26:M26"/>
    <mergeCell ref="E27:M27"/>
    <mergeCell ref="E28:M28"/>
    <mergeCell ref="E29:M29"/>
    <mergeCell ref="E30:M30"/>
    <mergeCell ref="E31:M31"/>
    <mergeCell ref="E32:M32"/>
    <mergeCell ref="A40:M40"/>
    <mergeCell ref="A41:M43"/>
    <mergeCell ref="A44:M45"/>
    <mergeCell ref="E33:M33"/>
    <mergeCell ref="E34:M34"/>
    <mergeCell ref="E35:M35"/>
    <mergeCell ref="E36:M36"/>
    <mergeCell ref="E37:M37"/>
    <mergeCell ref="E38:M38"/>
    <mergeCell ref="E39:M39"/>
    <mergeCell ref="J1:M1"/>
    <mergeCell ref="A2:C2"/>
    <mergeCell ref="D2:I2"/>
    <mergeCell ref="J2:M2"/>
    <mergeCell ref="A3:C3"/>
    <mergeCell ref="D3:I3"/>
    <mergeCell ref="J3:M3"/>
    <mergeCell ref="E6:M6"/>
    <mergeCell ref="E7:M7"/>
    <mergeCell ref="A4:C4"/>
    <mergeCell ref="D4:I4"/>
    <mergeCell ref="J4:M4"/>
    <mergeCell ref="A5:C5"/>
    <mergeCell ref="E5:M5"/>
    <mergeCell ref="A6:C6"/>
    <mergeCell ref="A7:C7"/>
    <mergeCell ref="A8:C8"/>
    <mergeCell ref="E8:M8"/>
    <mergeCell ref="A9:C9"/>
    <mergeCell ref="E9:M9"/>
    <mergeCell ref="A10:C10"/>
    <mergeCell ref="E10:M10"/>
    <mergeCell ref="E11:M11"/>
    <mergeCell ref="A11:C11"/>
    <mergeCell ref="A12:C12"/>
    <mergeCell ref="A13:C13"/>
    <mergeCell ref="A14:C14"/>
    <mergeCell ref="A15:C15"/>
    <mergeCell ref="A16:C16"/>
    <mergeCell ref="A17:C17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</mergeCells>
  <dataValidations>
    <dataValidation type="list" allowBlank="1" showErrorMessage="1" sqref="D2">
      <formula1>"Input Category,Category 1,Category 2,Category 3"</formula1>
    </dataValidation>
    <dataValidation type="list" allowBlank="1" sqref="D4">
      <formula1>"None,Yes - Add Additional Air Scrubber"</formula1>
    </dataValidation>
  </dataValidations>
  <printOptions/>
  <pageMargins bottom="0.75" footer="0.0" header="0.0" left="0.48382923673997413" right="0.25" top="0.14583333333333334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6" width="8.71"/>
    <col customWidth="1" min="7" max="7" width="7.86"/>
    <col customWidth="1" min="8" max="8" width="9.14"/>
    <col customWidth="1" min="9" max="9" width="4.0"/>
    <col customWidth="1" min="10" max="10" width="6.86"/>
    <col customWidth="1" min="11" max="11" width="8.71"/>
    <col customWidth="1" min="12" max="12" width="19.14"/>
    <col customWidth="1" hidden="1" min="13" max="26" width="8.71"/>
  </cols>
  <sheetData>
    <row r="1">
      <c r="A1" s="103"/>
      <c r="B1" s="68"/>
      <c r="C1" s="68"/>
      <c r="D1" s="68"/>
      <c r="E1" s="68"/>
      <c r="F1" s="68"/>
      <c r="G1" s="68"/>
      <c r="H1" s="104" t="s">
        <v>116</v>
      </c>
      <c r="I1" s="68"/>
      <c r="J1" s="68"/>
      <c r="K1" s="68"/>
      <c r="L1" s="99"/>
    </row>
    <row r="2">
      <c r="A2" s="100"/>
      <c r="H2" s="12" t="s">
        <v>24</v>
      </c>
      <c r="L2" s="56"/>
    </row>
    <row r="3">
      <c r="A3" s="100"/>
      <c r="H3" s="18"/>
      <c r="L3" s="56"/>
    </row>
    <row r="4">
      <c r="A4" s="100"/>
      <c r="H4" s="18"/>
      <c r="L4" s="56"/>
    </row>
    <row r="5">
      <c r="A5" s="105" t="s">
        <v>117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7"/>
    </row>
    <row r="6">
      <c r="A6" s="105" t="s">
        <v>118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7"/>
    </row>
    <row r="7">
      <c r="A7" s="105" t="s">
        <v>119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7"/>
    </row>
    <row r="8">
      <c r="A8" s="105" t="s">
        <v>120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7"/>
    </row>
    <row r="9">
      <c r="A9" s="105" t="s">
        <v>121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7"/>
    </row>
    <row r="10">
      <c r="A10" s="105" t="s">
        <v>122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7"/>
    </row>
    <row r="11">
      <c r="A11" s="105" t="s">
        <v>123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7"/>
    </row>
    <row r="12">
      <c r="A12" s="105" t="s">
        <v>124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7"/>
    </row>
    <row r="13">
      <c r="A13" s="105" t="s">
        <v>125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7"/>
    </row>
    <row r="14">
      <c r="A14" s="105" t="s">
        <v>126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>
      <c r="A15" s="108" t="s">
        <v>127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10"/>
    </row>
    <row r="16" ht="15.75" customHeight="1">
      <c r="A16" s="111" t="s">
        <v>128</v>
      </c>
      <c r="L16" s="56"/>
    </row>
    <row r="17" ht="15.75" customHeight="1">
      <c r="A17" s="101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6">
    <mergeCell ref="H1:L1"/>
    <mergeCell ref="H2:L2"/>
    <mergeCell ref="H3:L3"/>
    <mergeCell ref="H4:L4"/>
    <mergeCell ref="A5:L5"/>
    <mergeCell ref="A6:L6"/>
    <mergeCell ref="A7:L7"/>
    <mergeCell ref="A15:L15"/>
    <mergeCell ref="A16:L17"/>
    <mergeCell ref="A8:L8"/>
    <mergeCell ref="A9:L9"/>
    <mergeCell ref="A10:L10"/>
    <mergeCell ref="A11:L11"/>
    <mergeCell ref="A12:L12"/>
    <mergeCell ref="A13:L13"/>
    <mergeCell ref="A14:L14"/>
  </mergeCells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F1" s="112" t="s">
        <v>129</v>
      </c>
      <c r="G1" s="112" t="s">
        <v>130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2" t="s">
        <v>131</v>
      </c>
      <c r="U1" s="113"/>
      <c r="V1" s="113"/>
      <c r="W1" s="112"/>
      <c r="X1" s="112" t="s">
        <v>132</v>
      </c>
      <c r="Y1" s="112" t="s">
        <v>133</v>
      </c>
      <c r="Z1" s="113"/>
      <c r="AA1" s="113"/>
      <c r="AB1" s="113"/>
      <c r="AC1" s="113"/>
      <c r="AD1" s="113"/>
      <c r="AE1" s="112" t="s">
        <v>134</v>
      </c>
      <c r="AF1" s="112" t="s">
        <v>135</v>
      </c>
      <c r="AG1" s="112" t="s">
        <v>136</v>
      </c>
      <c r="AH1" s="112" t="s">
        <v>137</v>
      </c>
      <c r="AI1" s="112" t="s">
        <v>138</v>
      </c>
      <c r="AJ1" s="112" t="s">
        <v>139</v>
      </c>
      <c r="AM1" s="112"/>
      <c r="AN1" s="112"/>
      <c r="AO1" s="112"/>
      <c r="AP1" s="112"/>
      <c r="AQ1" s="112"/>
      <c r="AR1" s="112" t="s">
        <v>140</v>
      </c>
      <c r="AS1" s="112"/>
      <c r="AT1" s="112"/>
      <c r="AU1" s="112" t="s">
        <v>141</v>
      </c>
      <c r="AV1" s="112" t="s">
        <v>142</v>
      </c>
      <c r="AW1" s="112" t="s">
        <v>143</v>
      </c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</row>
    <row r="2"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 t="s">
        <v>144</v>
      </c>
      <c r="V2" s="114"/>
      <c r="W2" s="114"/>
      <c r="X2" s="114"/>
      <c r="Y2" s="114"/>
      <c r="Z2" s="114"/>
      <c r="AA2" s="114" t="s">
        <v>145</v>
      </c>
      <c r="AB2" s="114" t="s">
        <v>146</v>
      </c>
      <c r="AC2" s="114" t="s">
        <v>145</v>
      </c>
      <c r="AD2" s="114" t="s">
        <v>146</v>
      </c>
      <c r="AE2" s="114"/>
      <c r="AF2" s="114"/>
      <c r="AG2" s="114"/>
      <c r="AH2" s="114"/>
      <c r="AI2" s="114"/>
      <c r="AJ2" s="114"/>
      <c r="AM2" s="115" t="s">
        <v>147</v>
      </c>
      <c r="AN2" s="115" t="s">
        <v>148</v>
      </c>
      <c r="AO2" s="115" t="s">
        <v>149</v>
      </c>
      <c r="AP2" s="115" t="s">
        <v>150</v>
      </c>
      <c r="AQ2" s="115" t="s">
        <v>151</v>
      </c>
      <c r="AR2" s="114"/>
      <c r="AS2" s="114" t="s">
        <v>141</v>
      </c>
      <c r="AT2" s="114" t="s">
        <v>142</v>
      </c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</row>
    <row r="3">
      <c r="F3" s="116">
        <v>0.3541666666666667</v>
      </c>
      <c r="G3" s="116">
        <v>0.7083333333333334</v>
      </c>
      <c r="H3" s="117">
        <f>sum('Daily Time  Readings Log'!K6-'Daily Time  Readings Log'!J6)</f>
        <v>0</v>
      </c>
      <c r="I3" s="118">
        <f t="shared" ref="I3:I37" si="2">sum(H3*24)</f>
        <v>0</v>
      </c>
      <c r="J3" s="118">
        <f t="shared" ref="J3:J37" si="3">if(I3&gt;0,I3,(I3+24))</f>
        <v>24</v>
      </c>
      <c r="K3" s="119">
        <f>if('Daily Time  Readings Log'!K6&gt;G3,('Daily Time  Readings Log'!K6-G3),0)</f>
        <v>0</v>
      </c>
      <c r="L3" s="119">
        <f>sum(G3-'Daily Time  Readings Log'!J6)</f>
        <v>0.7083333333</v>
      </c>
      <c r="M3" s="120">
        <f t="shared" ref="M3:M37" si="4">sum(L3*24)</f>
        <v>17</v>
      </c>
      <c r="N3" s="115">
        <f t="shared" ref="N3:N37" si="5">if(I3&lt;0,M3,0)</f>
        <v>0</v>
      </c>
      <c r="O3" s="115">
        <f t="shared" ref="O3:O37" si="6">abs(N3)</f>
        <v>0</v>
      </c>
      <c r="P3" s="115">
        <f t="shared" ref="P3:P37" si="7">if(N3&lt;0,O3,0)</f>
        <v>0</v>
      </c>
      <c r="Q3" s="115">
        <f t="shared" ref="Q3:Q37" si="8">sum(P3+R3)</f>
        <v>0</v>
      </c>
      <c r="R3" s="115">
        <f t="shared" ref="R3:R37" si="9">if(O3&gt;0,(AE3-O3),0)</f>
        <v>0</v>
      </c>
      <c r="S3" s="118">
        <f t="shared" ref="S3:S37" si="10">sum(K3*24)</f>
        <v>0</v>
      </c>
      <c r="T3" s="118">
        <f t="shared" ref="T3:T37" si="11">sum(Q3+S3)</f>
        <v>0</v>
      </c>
      <c r="U3" s="119">
        <f>if('Daily Time  Readings Log'!J6&lt;F3,(F3-'Daily Time  Readings Log'!J6),0)</f>
        <v>0.3541666667</v>
      </c>
      <c r="V3" s="121">
        <f t="shared" ref="V3:V37" si="12">sum(U3*24)</f>
        <v>8.5</v>
      </c>
      <c r="W3" s="121">
        <f>if('Daily Time  Readings Log'!J6&lt;F3,(AE3),V3)</f>
        <v>24</v>
      </c>
      <c r="X3" s="121">
        <f t="shared" ref="X3:X37" si="13">if(W3&gt;V3,V3,W3)</f>
        <v>8.5</v>
      </c>
      <c r="Y3" s="115">
        <f>IF(WEEKDAY('Daily Time  Readings Log'!A6,2)&gt;5,1,0)</f>
        <v>1</v>
      </c>
      <c r="Z3" s="118">
        <f t="shared" ref="Z3:Z37" si="14">sum(T3+X3)</f>
        <v>8.5</v>
      </c>
      <c r="AA3" s="122">
        <f t="shared" ref="AA3:AA37" si="15">sum(AE3-AB3)</f>
        <v>0</v>
      </c>
      <c r="AB3" s="118">
        <f t="shared" ref="AB3:AB37" si="16">if(Y3&gt;0,AE3,Z3)</f>
        <v>24</v>
      </c>
      <c r="AC3" s="122">
        <f t="shared" ref="AC3:AC37" si="17">if(AA3&lt;0,0,AA3)</f>
        <v>0</v>
      </c>
      <c r="AD3" s="122">
        <f t="shared" ref="AD3:AD37" si="18">if(AA3&lt;0,(AA3+AB3),AB3)</f>
        <v>24</v>
      </c>
      <c r="AE3" s="122">
        <f t="shared" ref="AE3:AE37" si="19">abs(J3)</f>
        <v>24</v>
      </c>
      <c r="AF3" s="122">
        <f t="shared" ref="AF3:AF37" si="20">sum(AE3+AR3)</f>
        <v>24</v>
      </c>
      <c r="AG3" s="122">
        <f t="shared" ref="AG3:AG37" si="21">if(M3=0,0,AC3)</f>
        <v>0</v>
      </c>
      <c r="AH3" s="122">
        <f t="shared" ref="AH3:AH37" si="22">if(AG3&lt;AA3,AA3,AD3)</f>
        <v>24</v>
      </c>
      <c r="AI3" s="120">
        <f t="shared" ref="AI3:AJ3" si="1">sum(AG3+AM3)</f>
        <v>0</v>
      </c>
      <c r="AJ3" s="120">
        <f t="shared" si="1"/>
        <v>24</v>
      </c>
      <c r="AM3" s="120">
        <f t="shared" ref="AM3:AM37" si="24">if(AO3&gt;=1,0,AR3)</f>
        <v>0</v>
      </c>
      <c r="AN3" s="120">
        <f t="shared" ref="AN3:AN37" si="25">if(AO3&gt;=1,AR3,0)</f>
        <v>0</v>
      </c>
      <c r="AO3" s="120">
        <f t="shared" ref="AO3:AO37" si="26">sum(AP3+AQ3+Y3)</f>
        <v>2</v>
      </c>
      <c r="AP3" s="120">
        <f>if('Daily Time  Readings Log'!J6&lt;F3,1,0)</f>
        <v>1</v>
      </c>
      <c r="AQ3" s="120">
        <f>if('Daily Time  Readings Log'!J6&gt;G3,1,0)</f>
        <v>0</v>
      </c>
      <c r="AR3" s="120">
        <f>sum('Daily Time  Readings Log'!L6/60)</f>
        <v>0</v>
      </c>
      <c r="AS3" s="123">
        <v>55.39</v>
      </c>
      <c r="AT3" s="123">
        <v>83.17</v>
      </c>
      <c r="AU3" s="123">
        <f>sum('Daily Time  Readings Log'!N6*AS3)</f>
        <v>0</v>
      </c>
      <c r="AV3" s="123">
        <f>sum('Daily Time  Readings Log'!O6*AT3)</f>
        <v>0</v>
      </c>
      <c r="AW3" s="123">
        <f t="shared" ref="AW3:AW37" si="27">sum(AU3+AV3)</f>
        <v>0</v>
      </c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</row>
    <row r="4">
      <c r="F4" s="116">
        <v>0.3541666666666667</v>
      </c>
      <c r="G4" s="116">
        <v>0.7083333333333334</v>
      </c>
      <c r="H4" s="117">
        <f>sum('Daily Time  Readings Log'!K7-'Daily Time  Readings Log'!J7)</f>
        <v>0</v>
      </c>
      <c r="I4" s="118">
        <f t="shared" si="2"/>
        <v>0</v>
      </c>
      <c r="J4" s="118">
        <f t="shared" si="3"/>
        <v>24</v>
      </c>
      <c r="K4" s="119">
        <f>if('Daily Time  Readings Log'!K7&gt;G4,('Daily Time  Readings Log'!K7-G4),0)</f>
        <v>0</v>
      </c>
      <c r="L4" s="119">
        <f>sum(G4-'Daily Time  Readings Log'!J7)</f>
        <v>0.7083333333</v>
      </c>
      <c r="M4" s="120">
        <f t="shared" si="4"/>
        <v>17</v>
      </c>
      <c r="N4" s="115">
        <f t="shared" si="5"/>
        <v>0</v>
      </c>
      <c r="O4" s="115">
        <f t="shared" si="6"/>
        <v>0</v>
      </c>
      <c r="P4" s="115">
        <f t="shared" si="7"/>
        <v>0</v>
      </c>
      <c r="Q4" s="115">
        <f t="shared" si="8"/>
        <v>0</v>
      </c>
      <c r="R4" s="115">
        <f t="shared" si="9"/>
        <v>0</v>
      </c>
      <c r="S4" s="118">
        <f t="shared" si="10"/>
        <v>0</v>
      </c>
      <c r="T4" s="118">
        <f t="shared" si="11"/>
        <v>0</v>
      </c>
      <c r="U4" s="119">
        <f>if('Daily Time  Readings Log'!J7&lt;F4,(F4-'Daily Time  Readings Log'!J7),0)</f>
        <v>0.3541666667</v>
      </c>
      <c r="V4" s="121">
        <f t="shared" si="12"/>
        <v>8.5</v>
      </c>
      <c r="W4" s="121">
        <f>if('Daily Time  Readings Log'!J7&lt;F4,(AE4),V4)</f>
        <v>24</v>
      </c>
      <c r="X4" s="121">
        <f t="shared" si="13"/>
        <v>8.5</v>
      </c>
      <c r="Y4" s="115">
        <f>IF(WEEKDAY('Daily Time  Readings Log'!A7,2)&gt;5,1,0)</f>
        <v>1</v>
      </c>
      <c r="Z4" s="118">
        <f t="shared" si="14"/>
        <v>8.5</v>
      </c>
      <c r="AA4" s="122">
        <f t="shared" si="15"/>
        <v>0</v>
      </c>
      <c r="AB4" s="118">
        <f t="shared" si="16"/>
        <v>24</v>
      </c>
      <c r="AC4" s="122">
        <f t="shared" si="17"/>
        <v>0</v>
      </c>
      <c r="AD4" s="118">
        <f t="shared" si="18"/>
        <v>24</v>
      </c>
      <c r="AE4" s="122">
        <f t="shared" si="19"/>
        <v>24</v>
      </c>
      <c r="AF4" s="122">
        <f t="shared" si="20"/>
        <v>24</v>
      </c>
      <c r="AG4" s="122">
        <f t="shared" si="21"/>
        <v>0</v>
      </c>
      <c r="AH4" s="122">
        <f t="shared" si="22"/>
        <v>24</v>
      </c>
      <c r="AI4" s="120">
        <f t="shared" ref="AI4:AJ4" si="23">sum(AG4+AM4)</f>
        <v>0</v>
      </c>
      <c r="AJ4" s="120">
        <f t="shared" si="23"/>
        <v>24</v>
      </c>
      <c r="AM4" s="120">
        <f t="shared" si="24"/>
        <v>0</v>
      </c>
      <c r="AN4" s="120">
        <f t="shared" si="25"/>
        <v>0</v>
      </c>
      <c r="AO4" s="120">
        <f t="shared" si="26"/>
        <v>2</v>
      </c>
      <c r="AP4" s="120">
        <f>if('Daily Time  Readings Log'!J7&lt;F4,1,0)</f>
        <v>1</v>
      </c>
      <c r="AQ4" s="120">
        <f>if('Daily Time  Readings Log'!J7&gt;G4,1,0)</f>
        <v>0</v>
      </c>
      <c r="AR4" s="120">
        <f>sum('Daily Time  Readings Log'!L7/60)</f>
        <v>0</v>
      </c>
      <c r="AS4" s="123">
        <v>55.39</v>
      </c>
      <c r="AT4" s="123">
        <v>83.17</v>
      </c>
      <c r="AU4" s="123">
        <f>sum('Daily Time  Readings Log'!N7*AS4)</f>
        <v>0</v>
      </c>
      <c r="AV4" s="123">
        <f>sum('Daily Time  Readings Log'!O7*AT4)</f>
        <v>0</v>
      </c>
      <c r="AW4" s="123">
        <f t="shared" si="27"/>
        <v>0</v>
      </c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</row>
    <row r="5">
      <c r="F5" s="116">
        <v>0.3541666666666667</v>
      </c>
      <c r="G5" s="116">
        <v>0.7083333333333334</v>
      </c>
      <c r="H5" s="117">
        <f>sum('Daily Time  Readings Log'!K8-'Daily Time  Readings Log'!J8)</f>
        <v>0</v>
      </c>
      <c r="I5" s="118">
        <f t="shared" si="2"/>
        <v>0</v>
      </c>
      <c r="J5" s="118">
        <f t="shared" si="3"/>
        <v>24</v>
      </c>
      <c r="K5" s="119">
        <f>if('Daily Time  Readings Log'!K8&gt;G5,('Daily Time  Readings Log'!K8-G5),0)</f>
        <v>0</v>
      </c>
      <c r="L5" s="119">
        <f>sum(G5-'Daily Time  Readings Log'!J8)</f>
        <v>0.7083333333</v>
      </c>
      <c r="M5" s="120">
        <f t="shared" si="4"/>
        <v>17</v>
      </c>
      <c r="N5" s="120">
        <f t="shared" si="5"/>
        <v>0</v>
      </c>
      <c r="O5" s="115">
        <f t="shared" si="6"/>
        <v>0</v>
      </c>
      <c r="P5" s="115">
        <f t="shared" si="7"/>
        <v>0</v>
      </c>
      <c r="Q5" s="122">
        <f t="shared" si="8"/>
        <v>0</v>
      </c>
      <c r="R5" s="122">
        <f t="shared" si="9"/>
        <v>0</v>
      </c>
      <c r="S5" s="118">
        <f t="shared" si="10"/>
        <v>0</v>
      </c>
      <c r="T5" s="118">
        <f t="shared" si="11"/>
        <v>0</v>
      </c>
      <c r="U5" s="119">
        <f>if('Daily Time  Readings Log'!J8&lt;F5,(F5-'Daily Time  Readings Log'!J8),0)</f>
        <v>0.3541666667</v>
      </c>
      <c r="V5" s="121">
        <f t="shared" si="12"/>
        <v>8.5</v>
      </c>
      <c r="W5" s="121">
        <f>if('Daily Time  Readings Log'!J8&lt;F5,(AE5),V5)</f>
        <v>24</v>
      </c>
      <c r="X5" s="121">
        <f t="shared" si="13"/>
        <v>8.5</v>
      </c>
      <c r="Y5" s="115">
        <f>IF(WEEKDAY('Daily Time  Readings Log'!A8,2)&gt;5,1,0)</f>
        <v>1</v>
      </c>
      <c r="Z5" s="118">
        <f t="shared" si="14"/>
        <v>8.5</v>
      </c>
      <c r="AA5" s="122">
        <f t="shared" si="15"/>
        <v>0</v>
      </c>
      <c r="AB5" s="118">
        <f t="shared" si="16"/>
        <v>24</v>
      </c>
      <c r="AC5" s="122">
        <f t="shared" si="17"/>
        <v>0</v>
      </c>
      <c r="AD5" s="118">
        <f t="shared" si="18"/>
        <v>24</v>
      </c>
      <c r="AE5" s="122">
        <f t="shared" si="19"/>
        <v>24</v>
      </c>
      <c r="AF5" s="122">
        <f t="shared" si="20"/>
        <v>24</v>
      </c>
      <c r="AG5" s="122">
        <f t="shared" si="21"/>
        <v>0</v>
      </c>
      <c r="AH5" s="122">
        <f t="shared" si="22"/>
        <v>24</v>
      </c>
      <c r="AI5" s="120">
        <f t="shared" ref="AI5:AJ5" si="28">sum(AG5+AM5)</f>
        <v>0</v>
      </c>
      <c r="AJ5" s="120">
        <f t="shared" si="28"/>
        <v>24</v>
      </c>
      <c r="AM5" s="120">
        <f t="shared" si="24"/>
        <v>0</v>
      </c>
      <c r="AN5" s="120">
        <f t="shared" si="25"/>
        <v>0</v>
      </c>
      <c r="AO5" s="120">
        <f t="shared" si="26"/>
        <v>2</v>
      </c>
      <c r="AP5" s="120">
        <f>if('Daily Time  Readings Log'!J8&lt;F5,1,0)</f>
        <v>1</v>
      </c>
      <c r="AQ5" s="120">
        <f>if('Daily Time  Readings Log'!J8&gt;G5,1,0)</f>
        <v>0</v>
      </c>
      <c r="AR5" s="120">
        <f>sum('Daily Time  Readings Log'!L8/60)</f>
        <v>0</v>
      </c>
      <c r="AS5" s="123">
        <v>55.39</v>
      </c>
      <c r="AT5" s="123">
        <v>83.17</v>
      </c>
      <c r="AU5" s="123">
        <f>sum('Daily Time  Readings Log'!N8*AS5)</f>
        <v>0</v>
      </c>
      <c r="AV5" s="123">
        <f>sum('Daily Time  Readings Log'!O8*AT5)</f>
        <v>0</v>
      </c>
      <c r="AW5" s="123">
        <f t="shared" si="27"/>
        <v>0</v>
      </c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</row>
    <row r="6">
      <c r="F6" s="116">
        <v>0.3541666666666667</v>
      </c>
      <c r="G6" s="116">
        <v>0.7083333333333334</v>
      </c>
      <c r="H6" s="117">
        <f>sum('Daily Time  Readings Log'!K9-'Daily Time  Readings Log'!J9)</f>
        <v>0</v>
      </c>
      <c r="I6" s="118">
        <f t="shared" si="2"/>
        <v>0</v>
      </c>
      <c r="J6" s="118">
        <f t="shared" si="3"/>
        <v>24</v>
      </c>
      <c r="K6" s="119">
        <f>if('Daily Time  Readings Log'!K9&gt;G6,('Daily Time  Readings Log'!K9-G6),0)</f>
        <v>0</v>
      </c>
      <c r="L6" s="119">
        <f>sum(G6-'Daily Time  Readings Log'!J9)</f>
        <v>0.7083333333</v>
      </c>
      <c r="M6" s="120">
        <f t="shared" si="4"/>
        <v>17</v>
      </c>
      <c r="N6" s="115">
        <f t="shared" si="5"/>
        <v>0</v>
      </c>
      <c r="O6" s="115">
        <f t="shared" si="6"/>
        <v>0</v>
      </c>
      <c r="P6" s="115">
        <f t="shared" si="7"/>
        <v>0</v>
      </c>
      <c r="Q6" s="115">
        <f t="shared" si="8"/>
        <v>0</v>
      </c>
      <c r="R6" s="115">
        <f t="shared" si="9"/>
        <v>0</v>
      </c>
      <c r="S6" s="118">
        <f t="shared" si="10"/>
        <v>0</v>
      </c>
      <c r="T6" s="118">
        <f t="shared" si="11"/>
        <v>0</v>
      </c>
      <c r="U6" s="119">
        <f>if('Daily Time  Readings Log'!J9&lt;F6,(F6-'Daily Time  Readings Log'!J9),0)</f>
        <v>0.3541666667</v>
      </c>
      <c r="V6" s="121">
        <f t="shared" si="12"/>
        <v>8.5</v>
      </c>
      <c r="W6" s="121">
        <f>if('Daily Time  Readings Log'!J9&lt;F6,(AE6),V6)</f>
        <v>24</v>
      </c>
      <c r="X6" s="121">
        <f t="shared" si="13"/>
        <v>8.5</v>
      </c>
      <c r="Y6" s="115">
        <f>IF(WEEKDAY('Daily Time  Readings Log'!A9,2)&gt;5,1,0)</f>
        <v>1</v>
      </c>
      <c r="Z6" s="118">
        <f t="shared" si="14"/>
        <v>8.5</v>
      </c>
      <c r="AA6" s="122">
        <f t="shared" si="15"/>
        <v>0</v>
      </c>
      <c r="AB6" s="118">
        <f t="shared" si="16"/>
        <v>24</v>
      </c>
      <c r="AC6" s="122">
        <f t="shared" si="17"/>
        <v>0</v>
      </c>
      <c r="AD6" s="118">
        <f t="shared" si="18"/>
        <v>24</v>
      </c>
      <c r="AE6" s="122">
        <f t="shared" si="19"/>
        <v>24</v>
      </c>
      <c r="AF6" s="122">
        <f t="shared" si="20"/>
        <v>24</v>
      </c>
      <c r="AG6" s="122">
        <f t="shared" si="21"/>
        <v>0</v>
      </c>
      <c r="AH6" s="122">
        <f t="shared" si="22"/>
        <v>24</v>
      </c>
      <c r="AI6" s="120">
        <f t="shared" ref="AI6:AJ6" si="29">sum(AG6+AM6)</f>
        <v>0</v>
      </c>
      <c r="AJ6" s="120">
        <f t="shared" si="29"/>
        <v>24</v>
      </c>
      <c r="AM6" s="120">
        <f t="shared" si="24"/>
        <v>0</v>
      </c>
      <c r="AN6" s="120">
        <f t="shared" si="25"/>
        <v>0</v>
      </c>
      <c r="AO6" s="120">
        <f t="shared" si="26"/>
        <v>2</v>
      </c>
      <c r="AP6" s="120">
        <f>if('Daily Time  Readings Log'!J9&lt;F6,1,0)</f>
        <v>1</v>
      </c>
      <c r="AQ6" s="120">
        <f>if('Daily Time  Readings Log'!J9&gt;G6,1,0)</f>
        <v>0</v>
      </c>
      <c r="AR6" s="120">
        <f>sum('Daily Time  Readings Log'!L9/60)</f>
        <v>0</v>
      </c>
      <c r="AS6" s="123">
        <v>55.39</v>
      </c>
      <c r="AT6" s="123">
        <v>83.17</v>
      </c>
      <c r="AU6" s="123">
        <f>sum('Daily Time  Readings Log'!N9*AS6)</f>
        <v>0</v>
      </c>
      <c r="AV6" s="123">
        <f>sum('Daily Time  Readings Log'!O9*AT6)</f>
        <v>0</v>
      </c>
      <c r="AW6" s="123">
        <f t="shared" si="27"/>
        <v>0</v>
      </c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</row>
    <row r="7">
      <c r="F7" s="116">
        <v>0.3541666666666667</v>
      </c>
      <c r="G7" s="116">
        <v>0.7083333333333334</v>
      </c>
      <c r="H7" s="117">
        <f>sum('Daily Time  Readings Log'!K10-'Daily Time  Readings Log'!J10)</f>
        <v>0</v>
      </c>
      <c r="I7" s="118">
        <f t="shared" si="2"/>
        <v>0</v>
      </c>
      <c r="J7" s="118">
        <f t="shared" si="3"/>
        <v>24</v>
      </c>
      <c r="K7" s="119">
        <f>if('Daily Time  Readings Log'!K10&gt;G7,('Daily Time  Readings Log'!K10-G7),0)</f>
        <v>0</v>
      </c>
      <c r="L7" s="119">
        <f>sum(G7-'Daily Time  Readings Log'!J10)</f>
        <v>0.7083333333</v>
      </c>
      <c r="M7" s="120">
        <f t="shared" si="4"/>
        <v>17</v>
      </c>
      <c r="N7" s="120">
        <f t="shared" si="5"/>
        <v>0</v>
      </c>
      <c r="O7" s="115">
        <f t="shared" si="6"/>
        <v>0</v>
      </c>
      <c r="P7" s="115">
        <f t="shared" si="7"/>
        <v>0</v>
      </c>
      <c r="Q7" s="122">
        <f t="shared" si="8"/>
        <v>0</v>
      </c>
      <c r="R7" s="122">
        <f t="shared" si="9"/>
        <v>0</v>
      </c>
      <c r="S7" s="118">
        <f t="shared" si="10"/>
        <v>0</v>
      </c>
      <c r="T7" s="118">
        <f t="shared" si="11"/>
        <v>0</v>
      </c>
      <c r="U7" s="119">
        <f>if('Daily Time  Readings Log'!J10&lt;F7,(F7-'Daily Time  Readings Log'!J10),0)</f>
        <v>0.3541666667</v>
      </c>
      <c r="V7" s="121">
        <f t="shared" si="12"/>
        <v>8.5</v>
      </c>
      <c r="W7" s="121">
        <f>if('Daily Time  Readings Log'!J10&lt;F7,(AE7),V7)</f>
        <v>24</v>
      </c>
      <c r="X7" s="121">
        <f t="shared" si="13"/>
        <v>8.5</v>
      </c>
      <c r="Y7" s="115">
        <f>IF(WEEKDAY('Daily Time  Readings Log'!A10,2)&gt;5,1,0)</f>
        <v>1</v>
      </c>
      <c r="Z7" s="118">
        <f t="shared" si="14"/>
        <v>8.5</v>
      </c>
      <c r="AA7" s="122">
        <f t="shared" si="15"/>
        <v>0</v>
      </c>
      <c r="AB7" s="118">
        <f t="shared" si="16"/>
        <v>24</v>
      </c>
      <c r="AC7" s="122">
        <f t="shared" si="17"/>
        <v>0</v>
      </c>
      <c r="AD7" s="118">
        <f t="shared" si="18"/>
        <v>24</v>
      </c>
      <c r="AE7" s="122">
        <f t="shared" si="19"/>
        <v>24</v>
      </c>
      <c r="AF7" s="122">
        <f t="shared" si="20"/>
        <v>24</v>
      </c>
      <c r="AG7" s="122">
        <f t="shared" si="21"/>
        <v>0</v>
      </c>
      <c r="AH7" s="122">
        <f t="shared" si="22"/>
        <v>24</v>
      </c>
      <c r="AI7" s="120">
        <f t="shared" ref="AI7:AJ7" si="30">sum(AG7+AM7)</f>
        <v>0</v>
      </c>
      <c r="AJ7" s="120">
        <f t="shared" si="30"/>
        <v>24</v>
      </c>
      <c r="AM7" s="120">
        <f t="shared" si="24"/>
        <v>0</v>
      </c>
      <c r="AN7" s="120">
        <f t="shared" si="25"/>
        <v>0</v>
      </c>
      <c r="AO7" s="120">
        <f t="shared" si="26"/>
        <v>2</v>
      </c>
      <c r="AP7" s="120">
        <f>if('Daily Time  Readings Log'!J10&lt;F7,1,0)</f>
        <v>1</v>
      </c>
      <c r="AQ7" s="120">
        <f>if('Daily Time  Readings Log'!J10&gt;G7,1,0)</f>
        <v>0</v>
      </c>
      <c r="AR7" s="120">
        <f>sum('Daily Time  Readings Log'!L10/60)</f>
        <v>0</v>
      </c>
      <c r="AS7" s="123">
        <v>55.39</v>
      </c>
      <c r="AT7" s="123">
        <v>83.17</v>
      </c>
      <c r="AU7" s="123">
        <f>sum('Daily Time  Readings Log'!N10*AS7)</f>
        <v>0</v>
      </c>
      <c r="AV7" s="123">
        <f>sum('Daily Time  Readings Log'!O10*AT7)</f>
        <v>0</v>
      </c>
      <c r="AW7" s="123">
        <f t="shared" si="27"/>
        <v>0</v>
      </c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</row>
    <row r="8">
      <c r="F8" s="116">
        <v>0.3541666666666667</v>
      </c>
      <c r="G8" s="116">
        <v>0.7083333333333334</v>
      </c>
      <c r="H8" s="117">
        <f>sum('Daily Time  Readings Log'!K11-'Daily Time  Readings Log'!J11)</f>
        <v>0</v>
      </c>
      <c r="I8" s="118">
        <f t="shared" si="2"/>
        <v>0</v>
      </c>
      <c r="J8" s="118">
        <f t="shared" si="3"/>
        <v>24</v>
      </c>
      <c r="K8" s="119">
        <f>if('Daily Time  Readings Log'!K11&gt;G8,('Daily Time  Readings Log'!K11-G8),0)</f>
        <v>0</v>
      </c>
      <c r="L8" s="119">
        <f>sum(G8-'Daily Time  Readings Log'!J11)</f>
        <v>0.7083333333</v>
      </c>
      <c r="M8" s="120">
        <f t="shared" si="4"/>
        <v>17</v>
      </c>
      <c r="N8" s="115">
        <f t="shared" si="5"/>
        <v>0</v>
      </c>
      <c r="O8" s="115">
        <f t="shared" si="6"/>
        <v>0</v>
      </c>
      <c r="P8" s="115">
        <f t="shared" si="7"/>
        <v>0</v>
      </c>
      <c r="Q8" s="115">
        <f t="shared" si="8"/>
        <v>0</v>
      </c>
      <c r="R8" s="115">
        <f t="shared" si="9"/>
        <v>0</v>
      </c>
      <c r="S8" s="118">
        <f t="shared" si="10"/>
        <v>0</v>
      </c>
      <c r="T8" s="118">
        <f t="shared" si="11"/>
        <v>0</v>
      </c>
      <c r="U8" s="119">
        <f>if('Daily Time  Readings Log'!J11&lt;F8,(F8-'Daily Time  Readings Log'!J11),0)</f>
        <v>0.3541666667</v>
      </c>
      <c r="V8" s="121">
        <f t="shared" si="12"/>
        <v>8.5</v>
      </c>
      <c r="W8" s="121">
        <f>if('Daily Time  Readings Log'!J11&lt;F8,(AE8),V8)</f>
        <v>24</v>
      </c>
      <c r="X8" s="121">
        <f t="shared" si="13"/>
        <v>8.5</v>
      </c>
      <c r="Y8" s="115">
        <f>IF(WEEKDAY('Daily Time  Readings Log'!A11,2)&gt;5,1,0)</f>
        <v>1</v>
      </c>
      <c r="Z8" s="118">
        <f t="shared" si="14"/>
        <v>8.5</v>
      </c>
      <c r="AA8" s="122">
        <f t="shared" si="15"/>
        <v>0</v>
      </c>
      <c r="AB8" s="122">
        <f t="shared" si="16"/>
        <v>24</v>
      </c>
      <c r="AC8" s="122">
        <f t="shared" si="17"/>
        <v>0</v>
      </c>
      <c r="AD8" s="122">
        <f t="shared" si="18"/>
        <v>24</v>
      </c>
      <c r="AE8" s="122">
        <f t="shared" si="19"/>
        <v>24</v>
      </c>
      <c r="AF8" s="122">
        <f t="shared" si="20"/>
        <v>24</v>
      </c>
      <c r="AG8" s="122">
        <f t="shared" si="21"/>
        <v>0</v>
      </c>
      <c r="AH8" s="122">
        <f t="shared" si="22"/>
        <v>24</v>
      </c>
      <c r="AI8" s="120">
        <f t="shared" ref="AI8:AJ8" si="31">sum(AG8+AM8)</f>
        <v>0</v>
      </c>
      <c r="AJ8" s="120">
        <f t="shared" si="31"/>
        <v>24</v>
      </c>
      <c r="AM8" s="120">
        <f t="shared" si="24"/>
        <v>0</v>
      </c>
      <c r="AN8" s="120">
        <f t="shared" si="25"/>
        <v>0</v>
      </c>
      <c r="AO8" s="120">
        <f t="shared" si="26"/>
        <v>2</v>
      </c>
      <c r="AP8" s="120">
        <f>if('Daily Time  Readings Log'!J11&lt;F8,1,0)</f>
        <v>1</v>
      </c>
      <c r="AQ8" s="120">
        <f>if('Daily Time  Readings Log'!J11&gt;G8,1,0)</f>
        <v>0</v>
      </c>
      <c r="AR8" s="120">
        <f>sum('Daily Time  Readings Log'!L11/60)</f>
        <v>0</v>
      </c>
      <c r="AS8" s="123">
        <v>55.39</v>
      </c>
      <c r="AT8" s="123">
        <v>83.17</v>
      </c>
      <c r="AU8" s="123">
        <f>sum('Daily Time  Readings Log'!N11*AS8)</f>
        <v>0</v>
      </c>
      <c r="AV8" s="123">
        <f>sum('Daily Time  Readings Log'!O11*AT8)</f>
        <v>0</v>
      </c>
      <c r="AW8" s="123">
        <f t="shared" si="27"/>
        <v>0</v>
      </c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</row>
    <row r="9">
      <c r="F9" s="116">
        <v>0.3541666666666667</v>
      </c>
      <c r="G9" s="116">
        <v>0.7083333333333334</v>
      </c>
      <c r="H9" s="117">
        <f>sum('Daily Time  Readings Log'!K12-'Daily Time  Readings Log'!J12)</f>
        <v>0</v>
      </c>
      <c r="I9" s="118">
        <f t="shared" si="2"/>
        <v>0</v>
      </c>
      <c r="J9" s="118">
        <f t="shared" si="3"/>
        <v>24</v>
      </c>
      <c r="K9" s="119">
        <f>if('Daily Time  Readings Log'!K12&gt;G9,('Daily Time  Readings Log'!K12-G9),0)</f>
        <v>0</v>
      </c>
      <c r="L9" s="119">
        <f>sum(G9-'Daily Time  Readings Log'!J12)</f>
        <v>0.7083333333</v>
      </c>
      <c r="M9" s="120">
        <f t="shared" si="4"/>
        <v>17</v>
      </c>
      <c r="N9" s="120">
        <f t="shared" si="5"/>
        <v>0</v>
      </c>
      <c r="O9" s="115">
        <f t="shared" si="6"/>
        <v>0</v>
      </c>
      <c r="P9" s="115">
        <f t="shared" si="7"/>
        <v>0</v>
      </c>
      <c r="Q9" s="115">
        <f t="shared" si="8"/>
        <v>0</v>
      </c>
      <c r="R9" s="115">
        <f t="shared" si="9"/>
        <v>0</v>
      </c>
      <c r="S9" s="118">
        <f t="shared" si="10"/>
        <v>0</v>
      </c>
      <c r="T9" s="118">
        <f t="shared" si="11"/>
        <v>0</v>
      </c>
      <c r="U9" s="119">
        <f>if('Daily Time  Readings Log'!J12&lt;F9,(F9-'Daily Time  Readings Log'!J12),0)</f>
        <v>0.3541666667</v>
      </c>
      <c r="V9" s="121">
        <f t="shared" si="12"/>
        <v>8.5</v>
      </c>
      <c r="W9" s="121">
        <f>if('Daily Time  Readings Log'!J12&lt;F9,(AE9),V9)</f>
        <v>24</v>
      </c>
      <c r="X9" s="121">
        <f t="shared" si="13"/>
        <v>8.5</v>
      </c>
      <c r="Y9" s="115">
        <f>IF(WEEKDAY('Daily Time  Readings Log'!A12,2)&gt;5,1,0)</f>
        <v>1</v>
      </c>
      <c r="Z9" s="118">
        <f t="shared" si="14"/>
        <v>8.5</v>
      </c>
      <c r="AA9" s="122">
        <f t="shared" si="15"/>
        <v>0</v>
      </c>
      <c r="AB9" s="122">
        <f t="shared" si="16"/>
        <v>24</v>
      </c>
      <c r="AC9" s="122">
        <f t="shared" si="17"/>
        <v>0</v>
      </c>
      <c r="AD9" s="122">
        <f t="shared" si="18"/>
        <v>24</v>
      </c>
      <c r="AE9" s="122">
        <f t="shared" si="19"/>
        <v>24</v>
      </c>
      <c r="AF9" s="122">
        <f t="shared" si="20"/>
        <v>24</v>
      </c>
      <c r="AG9" s="122">
        <f t="shared" si="21"/>
        <v>0</v>
      </c>
      <c r="AH9" s="122">
        <f t="shared" si="22"/>
        <v>24</v>
      </c>
      <c r="AI9" s="120">
        <f t="shared" ref="AI9:AJ9" si="32">sum(AG9+AM9)</f>
        <v>0</v>
      </c>
      <c r="AJ9" s="120">
        <f t="shared" si="32"/>
        <v>24</v>
      </c>
      <c r="AM9" s="120">
        <f t="shared" si="24"/>
        <v>0</v>
      </c>
      <c r="AN9" s="120">
        <f t="shared" si="25"/>
        <v>0</v>
      </c>
      <c r="AO9" s="120">
        <f t="shared" si="26"/>
        <v>2</v>
      </c>
      <c r="AP9" s="120">
        <f>if('Daily Time  Readings Log'!J12&lt;F9,1,0)</f>
        <v>1</v>
      </c>
      <c r="AQ9" s="120">
        <f>if('Daily Time  Readings Log'!J12&gt;G9,1,0)</f>
        <v>0</v>
      </c>
      <c r="AR9" s="120">
        <f>sum('Daily Time  Readings Log'!L12/60)</f>
        <v>0</v>
      </c>
      <c r="AS9" s="123">
        <v>55.39</v>
      </c>
      <c r="AT9" s="123">
        <v>83.17</v>
      </c>
      <c r="AU9" s="123">
        <f>sum('Daily Time  Readings Log'!N12*AS9)</f>
        <v>0</v>
      </c>
      <c r="AV9" s="123">
        <f>sum('Daily Time  Readings Log'!O12*AT9)</f>
        <v>0</v>
      </c>
      <c r="AW9" s="123">
        <f t="shared" si="27"/>
        <v>0</v>
      </c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</row>
    <row r="10">
      <c r="F10" s="116">
        <v>0.3541666666666667</v>
      </c>
      <c r="G10" s="116">
        <v>0.7083333333333334</v>
      </c>
      <c r="H10" s="117">
        <f>sum('Daily Time  Readings Log'!K13-'Daily Time  Readings Log'!J13)</f>
        <v>0</v>
      </c>
      <c r="I10" s="118">
        <f t="shared" si="2"/>
        <v>0</v>
      </c>
      <c r="J10" s="118">
        <f t="shared" si="3"/>
        <v>24</v>
      </c>
      <c r="K10" s="119">
        <f>if('Daily Time  Readings Log'!K13&gt;G10,('Daily Time  Readings Log'!K13-G10),0)</f>
        <v>0</v>
      </c>
      <c r="L10" s="119">
        <f>sum(G10-'Daily Time  Readings Log'!J13)</f>
        <v>0.7083333333</v>
      </c>
      <c r="M10" s="120">
        <f t="shared" si="4"/>
        <v>17</v>
      </c>
      <c r="N10" s="120">
        <f t="shared" si="5"/>
        <v>0</v>
      </c>
      <c r="O10" s="115">
        <f t="shared" si="6"/>
        <v>0</v>
      </c>
      <c r="P10" s="115">
        <f t="shared" si="7"/>
        <v>0</v>
      </c>
      <c r="Q10" s="122">
        <f t="shared" si="8"/>
        <v>0</v>
      </c>
      <c r="R10" s="122">
        <f t="shared" si="9"/>
        <v>0</v>
      </c>
      <c r="S10" s="118">
        <f t="shared" si="10"/>
        <v>0</v>
      </c>
      <c r="T10" s="118">
        <f t="shared" si="11"/>
        <v>0</v>
      </c>
      <c r="U10" s="119">
        <f>if('Daily Time  Readings Log'!J13&lt;F10,(F10-'Daily Time  Readings Log'!J13),0)</f>
        <v>0.3541666667</v>
      </c>
      <c r="V10" s="121">
        <f t="shared" si="12"/>
        <v>8.5</v>
      </c>
      <c r="W10" s="121">
        <f>if('Daily Time  Readings Log'!J13&lt;F10,(AE10),V10)</f>
        <v>24</v>
      </c>
      <c r="X10" s="121">
        <f t="shared" si="13"/>
        <v>8.5</v>
      </c>
      <c r="Y10" s="115">
        <f>IF(WEEKDAY('Daily Time  Readings Log'!A13,2)&gt;5,1,0)</f>
        <v>1</v>
      </c>
      <c r="Z10" s="118">
        <f t="shared" si="14"/>
        <v>8.5</v>
      </c>
      <c r="AA10" s="122">
        <f t="shared" si="15"/>
        <v>0</v>
      </c>
      <c r="AB10" s="118">
        <f t="shared" si="16"/>
        <v>24</v>
      </c>
      <c r="AC10" s="122">
        <f t="shared" si="17"/>
        <v>0</v>
      </c>
      <c r="AD10" s="118">
        <f t="shared" si="18"/>
        <v>24</v>
      </c>
      <c r="AE10" s="122">
        <f t="shared" si="19"/>
        <v>24</v>
      </c>
      <c r="AF10" s="122">
        <f t="shared" si="20"/>
        <v>24</v>
      </c>
      <c r="AG10" s="122">
        <f t="shared" si="21"/>
        <v>0</v>
      </c>
      <c r="AH10" s="122">
        <f t="shared" si="22"/>
        <v>24</v>
      </c>
      <c r="AI10" s="120">
        <f t="shared" ref="AI10:AJ10" si="33">sum(AG10+AM10)</f>
        <v>0</v>
      </c>
      <c r="AJ10" s="120">
        <f t="shared" si="33"/>
        <v>24</v>
      </c>
      <c r="AM10" s="120">
        <f t="shared" si="24"/>
        <v>0</v>
      </c>
      <c r="AN10" s="120">
        <f t="shared" si="25"/>
        <v>0</v>
      </c>
      <c r="AO10" s="120">
        <f t="shared" si="26"/>
        <v>2</v>
      </c>
      <c r="AP10" s="120">
        <f>if('Daily Time  Readings Log'!J13&lt;F10,1,0)</f>
        <v>1</v>
      </c>
      <c r="AQ10" s="120">
        <f>if('Daily Time  Readings Log'!J13&gt;G10,1,0)</f>
        <v>0</v>
      </c>
      <c r="AR10" s="120">
        <f>sum('Daily Time  Readings Log'!L13/60)</f>
        <v>0</v>
      </c>
      <c r="AS10" s="123">
        <v>55.39</v>
      </c>
      <c r="AT10" s="123">
        <v>83.17</v>
      </c>
      <c r="AU10" s="123">
        <f>sum('Daily Time  Readings Log'!N13*AS10)</f>
        <v>0</v>
      </c>
      <c r="AV10" s="123">
        <f>sum('Daily Time  Readings Log'!O13*AT10)</f>
        <v>0</v>
      </c>
      <c r="AW10" s="123">
        <f t="shared" si="27"/>
        <v>0</v>
      </c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</row>
    <row r="11">
      <c r="F11" s="116">
        <v>0.3541666666666667</v>
      </c>
      <c r="G11" s="116">
        <v>0.7083333333333334</v>
      </c>
      <c r="H11" s="117">
        <f>sum('Daily Time  Readings Log'!K14-'Daily Time  Readings Log'!J14)</f>
        <v>0</v>
      </c>
      <c r="I11" s="118">
        <f t="shared" si="2"/>
        <v>0</v>
      </c>
      <c r="J11" s="118">
        <f t="shared" si="3"/>
        <v>24</v>
      </c>
      <c r="K11" s="119">
        <f>if('Daily Time  Readings Log'!K14&gt;G11,('Daily Time  Readings Log'!K14-G11),0)</f>
        <v>0</v>
      </c>
      <c r="L11" s="119">
        <f>sum(G11-'Daily Time  Readings Log'!J14)</f>
        <v>0.7083333333</v>
      </c>
      <c r="M11" s="120">
        <f t="shared" si="4"/>
        <v>17</v>
      </c>
      <c r="N11" s="115">
        <f t="shared" si="5"/>
        <v>0</v>
      </c>
      <c r="O11" s="115">
        <f t="shared" si="6"/>
        <v>0</v>
      </c>
      <c r="P11" s="115">
        <f t="shared" si="7"/>
        <v>0</v>
      </c>
      <c r="Q11" s="115">
        <f t="shared" si="8"/>
        <v>0</v>
      </c>
      <c r="R11" s="115">
        <f t="shared" si="9"/>
        <v>0</v>
      </c>
      <c r="S11" s="118">
        <f t="shared" si="10"/>
        <v>0</v>
      </c>
      <c r="T11" s="118">
        <f t="shared" si="11"/>
        <v>0</v>
      </c>
      <c r="U11" s="119">
        <f>if('Daily Time  Readings Log'!J14&lt;F11,(F11-'Daily Time  Readings Log'!J14),0)</f>
        <v>0.3541666667</v>
      </c>
      <c r="V11" s="121">
        <f t="shared" si="12"/>
        <v>8.5</v>
      </c>
      <c r="W11" s="121">
        <f>if('Daily Time  Readings Log'!J14&lt;F11,(AE11),V11)</f>
        <v>24</v>
      </c>
      <c r="X11" s="121">
        <f t="shared" si="13"/>
        <v>8.5</v>
      </c>
      <c r="Y11" s="115">
        <f>IF(WEEKDAY('Daily Time  Readings Log'!A14,2)&gt;5,1,0)</f>
        <v>1</v>
      </c>
      <c r="Z11" s="118">
        <f t="shared" si="14"/>
        <v>8.5</v>
      </c>
      <c r="AA11" s="122">
        <f t="shared" si="15"/>
        <v>0</v>
      </c>
      <c r="AB11" s="118">
        <f t="shared" si="16"/>
        <v>24</v>
      </c>
      <c r="AC11" s="122">
        <f t="shared" si="17"/>
        <v>0</v>
      </c>
      <c r="AD11" s="118">
        <f t="shared" si="18"/>
        <v>24</v>
      </c>
      <c r="AE11" s="122">
        <f t="shared" si="19"/>
        <v>24</v>
      </c>
      <c r="AF11" s="122">
        <f t="shared" si="20"/>
        <v>24</v>
      </c>
      <c r="AG11" s="122">
        <f t="shared" si="21"/>
        <v>0</v>
      </c>
      <c r="AH11" s="122">
        <f t="shared" si="22"/>
        <v>24</v>
      </c>
      <c r="AI11" s="120">
        <f t="shared" ref="AI11:AJ11" si="34">sum(AG11+AM11)</f>
        <v>0</v>
      </c>
      <c r="AJ11" s="120">
        <f t="shared" si="34"/>
        <v>24</v>
      </c>
      <c r="AM11" s="120">
        <f t="shared" si="24"/>
        <v>0</v>
      </c>
      <c r="AN11" s="120">
        <f t="shared" si="25"/>
        <v>0</v>
      </c>
      <c r="AO11" s="120">
        <f t="shared" si="26"/>
        <v>2</v>
      </c>
      <c r="AP11" s="120">
        <f>if('Daily Time  Readings Log'!J14&lt;F11,1,0)</f>
        <v>1</v>
      </c>
      <c r="AQ11" s="120">
        <f>if('Daily Time  Readings Log'!J14&gt;G11,1,0)</f>
        <v>0</v>
      </c>
      <c r="AR11" s="120">
        <f>sum('Daily Time  Readings Log'!L14/60)</f>
        <v>0</v>
      </c>
      <c r="AS11" s="123">
        <v>55.39</v>
      </c>
      <c r="AT11" s="123">
        <v>83.17</v>
      </c>
      <c r="AU11" s="123">
        <f>sum('Daily Time  Readings Log'!N14*AS11)</f>
        <v>0</v>
      </c>
      <c r="AV11" s="123">
        <f>sum('Daily Time  Readings Log'!O14*AT11)</f>
        <v>0</v>
      </c>
      <c r="AW11" s="123">
        <f t="shared" si="27"/>
        <v>0</v>
      </c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</row>
    <row r="12">
      <c r="F12" s="116">
        <v>0.3541666666666667</v>
      </c>
      <c r="G12" s="116">
        <v>0.7083333333333334</v>
      </c>
      <c r="H12" s="117">
        <f>sum('Daily Time  Readings Log'!K15-'Daily Time  Readings Log'!J15)</f>
        <v>0</v>
      </c>
      <c r="I12" s="118">
        <f t="shared" si="2"/>
        <v>0</v>
      </c>
      <c r="J12" s="118">
        <f t="shared" si="3"/>
        <v>24</v>
      </c>
      <c r="K12" s="119">
        <f>if('Daily Time  Readings Log'!K15&gt;G12,('Daily Time  Readings Log'!K15-G12),0)</f>
        <v>0</v>
      </c>
      <c r="L12" s="119">
        <f>sum(G12-'Daily Time  Readings Log'!J15)</f>
        <v>0.7083333333</v>
      </c>
      <c r="M12" s="120">
        <f t="shared" si="4"/>
        <v>17</v>
      </c>
      <c r="N12" s="120">
        <f t="shared" si="5"/>
        <v>0</v>
      </c>
      <c r="O12" s="115">
        <f t="shared" si="6"/>
        <v>0</v>
      </c>
      <c r="P12" s="115">
        <f t="shared" si="7"/>
        <v>0</v>
      </c>
      <c r="Q12" s="115">
        <f t="shared" si="8"/>
        <v>0</v>
      </c>
      <c r="R12" s="115">
        <f t="shared" si="9"/>
        <v>0</v>
      </c>
      <c r="S12" s="118">
        <f t="shared" si="10"/>
        <v>0</v>
      </c>
      <c r="T12" s="118">
        <f t="shared" si="11"/>
        <v>0</v>
      </c>
      <c r="U12" s="119">
        <f>if('Daily Time  Readings Log'!J15&lt;F12,(F12-'Daily Time  Readings Log'!J15),0)</f>
        <v>0.3541666667</v>
      </c>
      <c r="V12" s="121">
        <f t="shared" si="12"/>
        <v>8.5</v>
      </c>
      <c r="W12" s="121">
        <f>if('Daily Time  Readings Log'!J15&lt;F12,(AE12),V12)</f>
        <v>24</v>
      </c>
      <c r="X12" s="121">
        <f t="shared" si="13"/>
        <v>8.5</v>
      </c>
      <c r="Y12" s="115">
        <f>IF(WEEKDAY('Daily Time  Readings Log'!A15,2)&gt;5,1,0)</f>
        <v>1</v>
      </c>
      <c r="Z12" s="118">
        <f t="shared" si="14"/>
        <v>8.5</v>
      </c>
      <c r="AA12" s="122">
        <f t="shared" si="15"/>
        <v>0</v>
      </c>
      <c r="AB12" s="118">
        <f t="shared" si="16"/>
        <v>24</v>
      </c>
      <c r="AC12" s="122">
        <f t="shared" si="17"/>
        <v>0</v>
      </c>
      <c r="AD12" s="118">
        <f t="shared" si="18"/>
        <v>24</v>
      </c>
      <c r="AE12" s="122">
        <f t="shared" si="19"/>
        <v>24</v>
      </c>
      <c r="AF12" s="122">
        <f t="shared" si="20"/>
        <v>24</v>
      </c>
      <c r="AG12" s="122">
        <f t="shared" si="21"/>
        <v>0</v>
      </c>
      <c r="AH12" s="122">
        <f t="shared" si="22"/>
        <v>24</v>
      </c>
      <c r="AI12" s="120">
        <f t="shared" ref="AI12:AJ12" si="35">sum(AG12+AM12)</f>
        <v>0</v>
      </c>
      <c r="AJ12" s="120">
        <f t="shared" si="35"/>
        <v>24</v>
      </c>
      <c r="AM12" s="120">
        <f t="shared" si="24"/>
        <v>0</v>
      </c>
      <c r="AN12" s="120">
        <f t="shared" si="25"/>
        <v>0</v>
      </c>
      <c r="AO12" s="120">
        <f t="shared" si="26"/>
        <v>2</v>
      </c>
      <c r="AP12" s="120">
        <f>if('Daily Time  Readings Log'!J15&lt;F12,1,0)</f>
        <v>1</v>
      </c>
      <c r="AQ12" s="120">
        <f>if('Daily Time  Readings Log'!J15&gt;G12,1,0)</f>
        <v>0</v>
      </c>
      <c r="AR12" s="120">
        <f>sum('Daily Time  Readings Log'!L15/60)</f>
        <v>0</v>
      </c>
      <c r="AS12" s="123">
        <v>55.39</v>
      </c>
      <c r="AT12" s="123">
        <v>83.17</v>
      </c>
      <c r="AU12" s="123">
        <f>sum('Daily Time  Readings Log'!N15*AS12)</f>
        <v>0</v>
      </c>
      <c r="AV12" s="123">
        <f>sum('Daily Time  Readings Log'!O15*AT12)</f>
        <v>0</v>
      </c>
      <c r="AW12" s="123">
        <f t="shared" si="27"/>
        <v>0</v>
      </c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</row>
    <row r="13">
      <c r="F13" s="116">
        <v>0.3541666666666667</v>
      </c>
      <c r="G13" s="116">
        <v>0.7083333333333334</v>
      </c>
      <c r="H13" s="117">
        <f>sum('Daily Time  Readings Log'!K16-'Daily Time  Readings Log'!J16)</f>
        <v>0</v>
      </c>
      <c r="I13" s="118">
        <f t="shared" si="2"/>
        <v>0</v>
      </c>
      <c r="J13" s="118">
        <f t="shared" si="3"/>
        <v>24</v>
      </c>
      <c r="K13" s="119">
        <f>if('Daily Time  Readings Log'!K16&gt;G13,('Daily Time  Readings Log'!K16-G13),0)</f>
        <v>0</v>
      </c>
      <c r="L13" s="119">
        <f>sum(G13-'Daily Time  Readings Log'!J16)</f>
        <v>0.7083333333</v>
      </c>
      <c r="M13" s="120">
        <f t="shared" si="4"/>
        <v>17</v>
      </c>
      <c r="N13" s="115">
        <f t="shared" si="5"/>
        <v>0</v>
      </c>
      <c r="O13" s="115">
        <f t="shared" si="6"/>
        <v>0</v>
      </c>
      <c r="P13" s="115">
        <f t="shared" si="7"/>
        <v>0</v>
      </c>
      <c r="Q13" s="115">
        <f t="shared" si="8"/>
        <v>0</v>
      </c>
      <c r="R13" s="115">
        <f t="shared" si="9"/>
        <v>0</v>
      </c>
      <c r="S13" s="118">
        <f t="shared" si="10"/>
        <v>0</v>
      </c>
      <c r="T13" s="118">
        <f t="shared" si="11"/>
        <v>0</v>
      </c>
      <c r="U13" s="119">
        <f>if('Daily Time  Readings Log'!J16&lt;F13,(F13-'Daily Time  Readings Log'!J16),0)</f>
        <v>0.3541666667</v>
      </c>
      <c r="V13" s="121">
        <f t="shared" si="12"/>
        <v>8.5</v>
      </c>
      <c r="W13" s="121">
        <f>if('Daily Time  Readings Log'!J16&lt;F13,(AE13),V13)</f>
        <v>24</v>
      </c>
      <c r="X13" s="121">
        <f t="shared" si="13"/>
        <v>8.5</v>
      </c>
      <c r="Y13" s="115">
        <f>IF(WEEKDAY('Daily Time  Readings Log'!A16,2)&gt;5,1,0)</f>
        <v>1</v>
      </c>
      <c r="Z13" s="118">
        <f t="shared" si="14"/>
        <v>8.5</v>
      </c>
      <c r="AA13" s="122">
        <f t="shared" si="15"/>
        <v>0</v>
      </c>
      <c r="AB13" s="118">
        <f t="shared" si="16"/>
        <v>24</v>
      </c>
      <c r="AC13" s="122">
        <f t="shared" si="17"/>
        <v>0</v>
      </c>
      <c r="AD13" s="122">
        <f t="shared" si="18"/>
        <v>24</v>
      </c>
      <c r="AE13" s="122">
        <f t="shared" si="19"/>
        <v>24</v>
      </c>
      <c r="AF13" s="122">
        <f t="shared" si="20"/>
        <v>24</v>
      </c>
      <c r="AG13" s="122">
        <f t="shared" si="21"/>
        <v>0</v>
      </c>
      <c r="AH13" s="122">
        <f t="shared" si="22"/>
        <v>24</v>
      </c>
      <c r="AI13" s="120">
        <f t="shared" ref="AI13:AJ13" si="36">sum(AG13+AM13)</f>
        <v>0</v>
      </c>
      <c r="AJ13" s="120">
        <f t="shared" si="36"/>
        <v>24</v>
      </c>
      <c r="AM13" s="120">
        <f t="shared" si="24"/>
        <v>0</v>
      </c>
      <c r="AN13" s="120">
        <f t="shared" si="25"/>
        <v>0</v>
      </c>
      <c r="AO13" s="120">
        <f t="shared" si="26"/>
        <v>2</v>
      </c>
      <c r="AP13" s="120">
        <f>if('Daily Time  Readings Log'!J16&lt;F13,1,0)</f>
        <v>1</v>
      </c>
      <c r="AQ13" s="120">
        <f>if('Daily Time  Readings Log'!J16&gt;G13,1,0)</f>
        <v>0</v>
      </c>
      <c r="AR13" s="120">
        <f>sum('Daily Time  Readings Log'!L16/60)</f>
        <v>0</v>
      </c>
      <c r="AS13" s="123">
        <v>55.39</v>
      </c>
      <c r="AT13" s="123">
        <v>83.1700000000001</v>
      </c>
      <c r="AU13" s="123">
        <f>sum('Daily Time  Readings Log'!N16*AS13)</f>
        <v>0</v>
      </c>
      <c r="AV13" s="123">
        <f>sum('Daily Time  Readings Log'!O16*AT13)</f>
        <v>0</v>
      </c>
      <c r="AW13" s="123">
        <f t="shared" si="27"/>
        <v>0</v>
      </c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</row>
    <row r="14">
      <c r="F14" s="116">
        <v>0.3541666666666667</v>
      </c>
      <c r="G14" s="116">
        <v>0.7083333333333334</v>
      </c>
      <c r="H14" s="117">
        <f>sum('Daily Time  Readings Log'!K17-'Daily Time  Readings Log'!J17)</f>
        <v>0</v>
      </c>
      <c r="I14" s="118">
        <f t="shared" si="2"/>
        <v>0</v>
      </c>
      <c r="J14" s="118">
        <f t="shared" si="3"/>
        <v>24</v>
      </c>
      <c r="K14" s="119">
        <f>if('Daily Time  Readings Log'!K17&gt;G14,('Daily Time  Readings Log'!K17-G14),0)</f>
        <v>0</v>
      </c>
      <c r="L14" s="119">
        <f>sum(G14-'Daily Time  Readings Log'!J17)</f>
        <v>0.7083333333</v>
      </c>
      <c r="M14" s="120">
        <f t="shared" si="4"/>
        <v>17</v>
      </c>
      <c r="N14" s="115">
        <f t="shared" si="5"/>
        <v>0</v>
      </c>
      <c r="O14" s="115">
        <f t="shared" si="6"/>
        <v>0</v>
      </c>
      <c r="P14" s="115">
        <f t="shared" si="7"/>
        <v>0</v>
      </c>
      <c r="Q14" s="115">
        <f t="shared" si="8"/>
        <v>0</v>
      </c>
      <c r="R14" s="115">
        <f t="shared" si="9"/>
        <v>0</v>
      </c>
      <c r="S14" s="118">
        <f t="shared" si="10"/>
        <v>0</v>
      </c>
      <c r="T14" s="118">
        <f t="shared" si="11"/>
        <v>0</v>
      </c>
      <c r="U14" s="119">
        <f>if('Daily Time  Readings Log'!J17&lt;F14,(F14-'Daily Time  Readings Log'!J17),0)</f>
        <v>0.3541666667</v>
      </c>
      <c r="V14" s="121">
        <f t="shared" si="12"/>
        <v>8.5</v>
      </c>
      <c r="W14" s="121">
        <f>if('Daily Time  Readings Log'!J17&lt;F14,(AE14),V14)</f>
        <v>24</v>
      </c>
      <c r="X14" s="121">
        <f t="shared" si="13"/>
        <v>8.5</v>
      </c>
      <c r="Y14" s="115">
        <f>IF(WEEKDAY('Daily Time  Readings Log'!A17,2)&gt;5,1,0)</f>
        <v>1</v>
      </c>
      <c r="Z14" s="118">
        <f t="shared" si="14"/>
        <v>8.5</v>
      </c>
      <c r="AA14" s="122">
        <f t="shared" si="15"/>
        <v>0</v>
      </c>
      <c r="AB14" s="118">
        <f t="shared" si="16"/>
        <v>24</v>
      </c>
      <c r="AC14" s="122">
        <f t="shared" si="17"/>
        <v>0</v>
      </c>
      <c r="AD14" s="118">
        <f t="shared" si="18"/>
        <v>24</v>
      </c>
      <c r="AE14" s="122">
        <f t="shared" si="19"/>
        <v>24</v>
      </c>
      <c r="AF14" s="122">
        <f t="shared" si="20"/>
        <v>24</v>
      </c>
      <c r="AG14" s="122">
        <f t="shared" si="21"/>
        <v>0</v>
      </c>
      <c r="AH14" s="122">
        <f t="shared" si="22"/>
        <v>24</v>
      </c>
      <c r="AI14" s="120">
        <f t="shared" ref="AI14:AJ14" si="37">sum(AG14+AM14)</f>
        <v>0</v>
      </c>
      <c r="AJ14" s="120">
        <f t="shared" si="37"/>
        <v>24</v>
      </c>
      <c r="AM14" s="120">
        <f t="shared" si="24"/>
        <v>0</v>
      </c>
      <c r="AN14" s="120">
        <f t="shared" si="25"/>
        <v>0</v>
      </c>
      <c r="AO14" s="120">
        <f t="shared" si="26"/>
        <v>2</v>
      </c>
      <c r="AP14" s="120">
        <f>if('Daily Time  Readings Log'!J17&lt;F14,1,0)</f>
        <v>1</v>
      </c>
      <c r="AQ14" s="120">
        <f>if('Daily Time  Readings Log'!J17&gt;G14,1,0)</f>
        <v>0</v>
      </c>
      <c r="AR14" s="120">
        <f>sum('Daily Time  Readings Log'!L17/60)</f>
        <v>0</v>
      </c>
      <c r="AS14" s="123">
        <v>55.39</v>
      </c>
      <c r="AT14" s="123">
        <v>83.1700000000001</v>
      </c>
      <c r="AU14" s="123">
        <f>sum('Daily Time  Readings Log'!N17*AS14)</f>
        <v>0</v>
      </c>
      <c r="AV14" s="123">
        <f>sum('Daily Time  Readings Log'!O17*AT14)</f>
        <v>0</v>
      </c>
      <c r="AW14" s="123">
        <f t="shared" si="27"/>
        <v>0</v>
      </c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</row>
    <row r="15">
      <c r="F15" s="116">
        <v>0.3541666666666667</v>
      </c>
      <c r="G15" s="116">
        <v>0.7083333333333334</v>
      </c>
      <c r="H15" s="117">
        <f>sum('Daily Time  Readings Log'!K18-'Daily Time  Readings Log'!J18)</f>
        <v>0</v>
      </c>
      <c r="I15" s="118">
        <f t="shared" si="2"/>
        <v>0</v>
      </c>
      <c r="J15" s="118">
        <f t="shared" si="3"/>
        <v>24</v>
      </c>
      <c r="K15" s="119">
        <f>if('Daily Time  Readings Log'!K18&gt;G15,('Daily Time  Readings Log'!K18-G15),0)</f>
        <v>0</v>
      </c>
      <c r="L15" s="119">
        <f>sum(G15-'Daily Time  Readings Log'!J18)</f>
        <v>0.7083333333</v>
      </c>
      <c r="M15" s="120">
        <f t="shared" si="4"/>
        <v>17</v>
      </c>
      <c r="N15" s="120">
        <f t="shared" si="5"/>
        <v>0</v>
      </c>
      <c r="O15" s="115">
        <f t="shared" si="6"/>
        <v>0</v>
      </c>
      <c r="P15" s="115">
        <f t="shared" si="7"/>
        <v>0</v>
      </c>
      <c r="Q15" s="122">
        <f t="shared" si="8"/>
        <v>0</v>
      </c>
      <c r="R15" s="122">
        <f t="shared" si="9"/>
        <v>0</v>
      </c>
      <c r="S15" s="118">
        <f t="shared" si="10"/>
        <v>0</v>
      </c>
      <c r="T15" s="118">
        <f t="shared" si="11"/>
        <v>0</v>
      </c>
      <c r="U15" s="119">
        <f>if('Daily Time  Readings Log'!J18&lt;F15,(F15-'Daily Time  Readings Log'!J18),0)</f>
        <v>0.3541666667</v>
      </c>
      <c r="V15" s="121">
        <f t="shared" si="12"/>
        <v>8.5</v>
      </c>
      <c r="W15" s="121">
        <f>if('Daily Time  Readings Log'!J18&lt;F15,(AE15),V15)</f>
        <v>24</v>
      </c>
      <c r="X15" s="121">
        <f t="shared" si="13"/>
        <v>8.5</v>
      </c>
      <c r="Y15" s="115">
        <f>IF(WEEKDAY('Daily Time  Readings Log'!A18,2)&gt;5,1,0)</f>
        <v>1</v>
      </c>
      <c r="Z15" s="118">
        <f t="shared" si="14"/>
        <v>8.5</v>
      </c>
      <c r="AA15" s="122">
        <f t="shared" si="15"/>
        <v>0</v>
      </c>
      <c r="AB15" s="118">
        <f t="shared" si="16"/>
        <v>24</v>
      </c>
      <c r="AC15" s="122">
        <f t="shared" si="17"/>
        <v>0</v>
      </c>
      <c r="AD15" s="118">
        <f t="shared" si="18"/>
        <v>24</v>
      </c>
      <c r="AE15" s="122">
        <f t="shared" si="19"/>
        <v>24</v>
      </c>
      <c r="AF15" s="122">
        <f t="shared" si="20"/>
        <v>24</v>
      </c>
      <c r="AG15" s="122">
        <f t="shared" si="21"/>
        <v>0</v>
      </c>
      <c r="AH15" s="122">
        <f t="shared" si="22"/>
        <v>24</v>
      </c>
      <c r="AI15" s="120">
        <f t="shared" ref="AI15:AJ15" si="38">sum(AG15+AM15)</f>
        <v>0</v>
      </c>
      <c r="AJ15" s="120">
        <f t="shared" si="38"/>
        <v>24</v>
      </c>
      <c r="AM15" s="120">
        <f t="shared" si="24"/>
        <v>0</v>
      </c>
      <c r="AN15" s="120">
        <f t="shared" si="25"/>
        <v>0</v>
      </c>
      <c r="AO15" s="120">
        <f t="shared" si="26"/>
        <v>2</v>
      </c>
      <c r="AP15" s="120">
        <f>if('Daily Time  Readings Log'!J18&lt;F15,1,0)</f>
        <v>1</v>
      </c>
      <c r="AQ15" s="120">
        <f>if('Daily Time  Readings Log'!J18&gt;G15,1,0)</f>
        <v>0</v>
      </c>
      <c r="AR15" s="120">
        <f>sum('Daily Time  Readings Log'!L18/60)</f>
        <v>0</v>
      </c>
      <c r="AS15" s="123">
        <v>55.39</v>
      </c>
      <c r="AT15" s="123">
        <v>83.1700000000001</v>
      </c>
      <c r="AU15" s="123">
        <f>sum('Daily Time  Readings Log'!N18*AS15)</f>
        <v>0</v>
      </c>
      <c r="AV15" s="123">
        <f>sum('Daily Time  Readings Log'!O18*AT15)</f>
        <v>0</v>
      </c>
      <c r="AW15" s="123">
        <f t="shared" si="27"/>
        <v>0</v>
      </c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</row>
    <row r="16">
      <c r="F16" s="116">
        <v>0.3541666666666667</v>
      </c>
      <c r="G16" s="116">
        <v>0.7083333333333334</v>
      </c>
      <c r="H16" s="117">
        <f>sum('Daily Time  Readings Log'!K19-'Daily Time  Readings Log'!J19)</f>
        <v>0</v>
      </c>
      <c r="I16" s="118">
        <f t="shared" si="2"/>
        <v>0</v>
      </c>
      <c r="J16" s="118">
        <f t="shared" si="3"/>
        <v>24</v>
      </c>
      <c r="K16" s="119">
        <f>if('Daily Time  Readings Log'!K19&gt;G16,('Daily Time  Readings Log'!K19-G16),0)</f>
        <v>0</v>
      </c>
      <c r="L16" s="119">
        <f>sum(G16-'Daily Time  Readings Log'!J19)</f>
        <v>0.7083333333</v>
      </c>
      <c r="M16" s="120">
        <f t="shared" si="4"/>
        <v>17</v>
      </c>
      <c r="N16" s="115">
        <f t="shared" si="5"/>
        <v>0</v>
      </c>
      <c r="O16" s="115">
        <f t="shared" si="6"/>
        <v>0</v>
      </c>
      <c r="P16" s="115">
        <f t="shared" si="7"/>
        <v>0</v>
      </c>
      <c r="Q16" s="115">
        <f t="shared" si="8"/>
        <v>0</v>
      </c>
      <c r="R16" s="115">
        <f t="shared" si="9"/>
        <v>0</v>
      </c>
      <c r="S16" s="118">
        <f t="shared" si="10"/>
        <v>0</v>
      </c>
      <c r="T16" s="118">
        <f t="shared" si="11"/>
        <v>0</v>
      </c>
      <c r="U16" s="119">
        <f>if('Daily Time  Readings Log'!J19&lt;F16,(F16-'Daily Time  Readings Log'!J19),0)</f>
        <v>0.3541666667</v>
      </c>
      <c r="V16" s="121">
        <f t="shared" si="12"/>
        <v>8.5</v>
      </c>
      <c r="W16" s="121">
        <f>if('Daily Time  Readings Log'!J19&lt;F16,(AE16),V16)</f>
        <v>24</v>
      </c>
      <c r="X16" s="121">
        <f t="shared" si="13"/>
        <v>8.5</v>
      </c>
      <c r="Y16" s="115">
        <f>IF(WEEKDAY('Daily Time  Readings Log'!A19,2)&gt;5,1,0)</f>
        <v>1</v>
      </c>
      <c r="Z16" s="118">
        <f t="shared" si="14"/>
        <v>8.5</v>
      </c>
      <c r="AA16" s="122">
        <f t="shared" si="15"/>
        <v>0</v>
      </c>
      <c r="AB16" s="118">
        <f t="shared" si="16"/>
        <v>24</v>
      </c>
      <c r="AC16" s="122">
        <f t="shared" si="17"/>
        <v>0</v>
      </c>
      <c r="AD16" s="118">
        <f t="shared" si="18"/>
        <v>24</v>
      </c>
      <c r="AE16" s="122">
        <f t="shared" si="19"/>
        <v>24</v>
      </c>
      <c r="AF16" s="122">
        <f t="shared" si="20"/>
        <v>24</v>
      </c>
      <c r="AG16" s="122">
        <f t="shared" si="21"/>
        <v>0</v>
      </c>
      <c r="AH16" s="122">
        <f t="shared" si="22"/>
        <v>24</v>
      </c>
      <c r="AI16" s="120">
        <f t="shared" ref="AI16:AJ16" si="39">sum(AG16+AM16)</f>
        <v>0</v>
      </c>
      <c r="AJ16" s="120">
        <f t="shared" si="39"/>
        <v>24</v>
      </c>
      <c r="AM16" s="120">
        <f t="shared" si="24"/>
        <v>0</v>
      </c>
      <c r="AN16" s="120">
        <f t="shared" si="25"/>
        <v>0</v>
      </c>
      <c r="AO16" s="120">
        <f t="shared" si="26"/>
        <v>2</v>
      </c>
      <c r="AP16" s="120">
        <f>if('Daily Time  Readings Log'!J19&lt;F16,1,0)</f>
        <v>1</v>
      </c>
      <c r="AQ16" s="120">
        <f>if('Daily Time  Readings Log'!J19&gt;G16,1,0)</f>
        <v>0</v>
      </c>
      <c r="AR16" s="120">
        <f>sum('Daily Time  Readings Log'!L19/60)</f>
        <v>0</v>
      </c>
      <c r="AS16" s="123">
        <v>55.39</v>
      </c>
      <c r="AT16" s="123">
        <v>83.1700000000001</v>
      </c>
      <c r="AU16" s="123">
        <f>sum('Daily Time  Readings Log'!N19*AS16)</f>
        <v>0</v>
      </c>
      <c r="AV16" s="123">
        <f>sum('Daily Time  Readings Log'!O19*AT16)</f>
        <v>0</v>
      </c>
      <c r="AW16" s="123">
        <f t="shared" si="27"/>
        <v>0</v>
      </c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</row>
    <row r="17">
      <c r="F17" s="116">
        <v>0.3541666666666667</v>
      </c>
      <c r="G17" s="116">
        <v>0.7083333333333334</v>
      </c>
      <c r="H17" s="117">
        <f>sum('Daily Time  Readings Log'!K20-'Daily Time  Readings Log'!J20)</f>
        <v>0</v>
      </c>
      <c r="I17" s="118">
        <f t="shared" si="2"/>
        <v>0</v>
      </c>
      <c r="J17" s="118">
        <f t="shared" si="3"/>
        <v>24</v>
      </c>
      <c r="K17" s="119">
        <f>if('Daily Time  Readings Log'!K20&gt;G17,('Daily Time  Readings Log'!K20-G17),0)</f>
        <v>0</v>
      </c>
      <c r="L17" s="119">
        <f>sum(G17-'Daily Time  Readings Log'!J20)</f>
        <v>0.7083333333</v>
      </c>
      <c r="M17" s="120">
        <f t="shared" si="4"/>
        <v>17</v>
      </c>
      <c r="N17" s="120">
        <f t="shared" si="5"/>
        <v>0</v>
      </c>
      <c r="O17" s="115">
        <f t="shared" si="6"/>
        <v>0</v>
      </c>
      <c r="P17" s="115">
        <f t="shared" si="7"/>
        <v>0</v>
      </c>
      <c r="Q17" s="122">
        <f t="shared" si="8"/>
        <v>0</v>
      </c>
      <c r="R17" s="122">
        <f t="shared" si="9"/>
        <v>0</v>
      </c>
      <c r="S17" s="118">
        <f t="shared" si="10"/>
        <v>0</v>
      </c>
      <c r="T17" s="118">
        <f t="shared" si="11"/>
        <v>0</v>
      </c>
      <c r="U17" s="119">
        <f>if('Daily Time  Readings Log'!J20&lt;F17,(F17-'Daily Time  Readings Log'!J20),0)</f>
        <v>0.3541666667</v>
      </c>
      <c r="V17" s="121">
        <f t="shared" si="12"/>
        <v>8.5</v>
      </c>
      <c r="W17" s="121">
        <f>if('Daily Time  Readings Log'!J20&lt;F17,(AE17),V17)</f>
        <v>24</v>
      </c>
      <c r="X17" s="121">
        <f t="shared" si="13"/>
        <v>8.5</v>
      </c>
      <c r="Y17" s="115">
        <f>IF(WEEKDAY('Daily Time  Readings Log'!A20,2)&gt;5,1,0)</f>
        <v>1</v>
      </c>
      <c r="Z17" s="118">
        <f t="shared" si="14"/>
        <v>8.5</v>
      </c>
      <c r="AA17" s="122">
        <f t="shared" si="15"/>
        <v>0</v>
      </c>
      <c r="AB17" s="118">
        <f t="shared" si="16"/>
        <v>24</v>
      </c>
      <c r="AC17" s="122">
        <f t="shared" si="17"/>
        <v>0</v>
      </c>
      <c r="AD17" s="118">
        <f t="shared" si="18"/>
        <v>24</v>
      </c>
      <c r="AE17" s="122">
        <f t="shared" si="19"/>
        <v>24</v>
      </c>
      <c r="AF17" s="122">
        <f t="shared" si="20"/>
        <v>24</v>
      </c>
      <c r="AG17" s="122">
        <f t="shared" si="21"/>
        <v>0</v>
      </c>
      <c r="AH17" s="122">
        <f t="shared" si="22"/>
        <v>24</v>
      </c>
      <c r="AI17" s="120">
        <f t="shared" ref="AI17:AJ17" si="40">sum(AG17+AM17)</f>
        <v>0</v>
      </c>
      <c r="AJ17" s="120">
        <f t="shared" si="40"/>
        <v>24</v>
      </c>
      <c r="AM17" s="120">
        <f t="shared" si="24"/>
        <v>0</v>
      </c>
      <c r="AN17" s="120">
        <f t="shared" si="25"/>
        <v>0</v>
      </c>
      <c r="AO17" s="120">
        <f t="shared" si="26"/>
        <v>2</v>
      </c>
      <c r="AP17" s="120">
        <f>if('Daily Time  Readings Log'!J20&lt;F17,1,0)</f>
        <v>1</v>
      </c>
      <c r="AQ17" s="120">
        <f>if('Daily Time  Readings Log'!J20&gt;G17,1,0)</f>
        <v>0</v>
      </c>
      <c r="AR17" s="120">
        <f>sum('Daily Time  Readings Log'!L20/60)</f>
        <v>0</v>
      </c>
      <c r="AS17" s="123">
        <v>55.39</v>
      </c>
      <c r="AT17" s="123">
        <v>83.1700000000001</v>
      </c>
      <c r="AU17" s="123">
        <f>sum('Daily Time  Readings Log'!N20*AS17)</f>
        <v>0</v>
      </c>
      <c r="AV17" s="123">
        <f>sum('Daily Time  Readings Log'!O20*AT17)</f>
        <v>0</v>
      </c>
      <c r="AW17" s="123">
        <f t="shared" si="27"/>
        <v>0</v>
      </c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</row>
    <row r="18">
      <c r="F18" s="116">
        <v>0.3541666666666667</v>
      </c>
      <c r="G18" s="116">
        <v>0.7083333333333334</v>
      </c>
      <c r="H18" s="117">
        <f>sum('Daily Time  Readings Log'!K21-'Daily Time  Readings Log'!J21)</f>
        <v>0</v>
      </c>
      <c r="I18" s="118">
        <f t="shared" si="2"/>
        <v>0</v>
      </c>
      <c r="J18" s="118">
        <f t="shared" si="3"/>
        <v>24</v>
      </c>
      <c r="K18" s="119">
        <f>if('Daily Time  Readings Log'!K21&gt;G18,('Daily Time  Readings Log'!K21-G18),0)</f>
        <v>0</v>
      </c>
      <c r="L18" s="119">
        <f>sum(G18-'Daily Time  Readings Log'!J21)</f>
        <v>0.7083333333</v>
      </c>
      <c r="M18" s="120">
        <f t="shared" si="4"/>
        <v>17</v>
      </c>
      <c r="N18" s="115">
        <f t="shared" si="5"/>
        <v>0</v>
      </c>
      <c r="O18" s="115">
        <f t="shared" si="6"/>
        <v>0</v>
      </c>
      <c r="P18" s="115">
        <f t="shared" si="7"/>
        <v>0</v>
      </c>
      <c r="Q18" s="115">
        <f t="shared" si="8"/>
        <v>0</v>
      </c>
      <c r="R18" s="115">
        <f t="shared" si="9"/>
        <v>0</v>
      </c>
      <c r="S18" s="118">
        <f t="shared" si="10"/>
        <v>0</v>
      </c>
      <c r="T18" s="118">
        <f t="shared" si="11"/>
        <v>0</v>
      </c>
      <c r="U18" s="119">
        <f>if('Daily Time  Readings Log'!J21&lt;F18,(F18-'Daily Time  Readings Log'!J21),0)</f>
        <v>0.3541666667</v>
      </c>
      <c r="V18" s="121">
        <f t="shared" si="12"/>
        <v>8.5</v>
      </c>
      <c r="W18" s="121">
        <f>if('Daily Time  Readings Log'!J21&lt;F18,(AE18),V18)</f>
        <v>24</v>
      </c>
      <c r="X18" s="121">
        <f t="shared" si="13"/>
        <v>8.5</v>
      </c>
      <c r="Y18" s="115">
        <f>IF(WEEKDAY('Daily Time  Readings Log'!A21,2)&gt;5,1,0)</f>
        <v>1</v>
      </c>
      <c r="Z18" s="118">
        <f t="shared" si="14"/>
        <v>8.5</v>
      </c>
      <c r="AA18" s="122">
        <f t="shared" si="15"/>
        <v>0</v>
      </c>
      <c r="AB18" s="122">
        <f t="shared" si="16"/>
        <v>24</v>
      </c>
      <c r="AC18" s="122">
        <f t="shared" si="17"/>
        <v>0</v>
      </c>
      <c r="AD18" s="122">
        <f t="shared" si="18"/>
        <v>24</v>
      </c>
      <c r="AE18" s="122">
        <f t="shared" si="19"/>
        <v>24</v>
      </c>
      <c r="AF18" s="122">
        <f t="shared" si="20"/>
        <v>24</v>
      </c>
      <c r="AG18" s="122">
        <f t="shared" si="21"/>
        <v>0</v>
      </c>
      <c r="AH18" s="122">
        <f t="shared" si="22"/>
        <v>24</v>
      </c>
      <c r="AI18" s="120">
        <f t="shared" ref="AI18:AJ18" si="41">sum(AG18+AM18)</f>
        <v>0</v>
      </c>
      <c r="AJ18" s="120">
        <f t="shared" si="41"/>
        <v>24</v>
      </c>
      <c r="AM18" s="120">
        <f t="shared" si="24"/>
        <v>0</v>
      </c>
      <c r="AN18" s="120">
        <f t="shared" si="25"/>
        <v>0</v>
      </c>
      <c r="AO18" s="120">
        <f t="shared" si="26"/>
        <v>2</v>
      </c>
      <c r="AP18" s="120">
        <f>if('Daily Time  Readings Log'!J21&lt;F18,1,0)</f>
        <v>1</v>
      </c>
      <c r="AQ18" s="120">
        <f>if('Daily Time  Readings Log'!J21&gt;G18,1,0)</f>
        <v>0</v>
      </c>
      <c r="AR18" s="120">
        <f>sum('Daily Time  Readings Log'!L21/60)</f>
        <v>0</v>
      </c>
      <c r="AS18" s="123">
        <v>55.39</v>
      </c>
      <c r="AT18" s="123">
        <v>83.1700000000001</v>
      </c>
      <c r="AU18" s="123">
        <f>sum('Daily Time  Readings Log'!N21*AS18)</f>
        <v>0</v>
      </c>
      <c r="AV18" s="123">
        <f>sum('Daily Time  Readings Log'!O21*AT18)</f>
        <v>0</v>
      </c>
      <c r="AW18" s="123">
        <f t="shared" si="27"/>
        <v>0</v>
      </c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</row>
    <row r="19">
      <c r="F19" s="116">
        <v>0.3541666666666667</v>
      </c>
      <c r="G19" s="116">
        <v>0.7083333333333334</v>
      </c>
      <c r="H19" s="117">
        <f>sum('Daily Time  Readings Log'!K22-'Daily Time  Readings Log'!J22)</f>
        <v>0</v>
      </c>
      <c r="I19" s="118">
        <f t="shared" si="2"/>
        <v>0</v>
      </c>
      <c r="J19" s="118">
        <f t="shared" si="3"/>
        <v>24</v>
      </c>
      <c r="K19" s="119">
        <f>if('Daily Time  Readings Log'!K22&gt;G19,('Daily Time  Readings Log'!K22-G19),0)</f>
        <v>0</v>
      </c>
      <c r="L19" s="119">
        <f>sum(G19-'Daily Time  Readings Log'!J22)</f>
        <v>0.7083333333</v>
      </c>
      <c r="M19" s="120">
        <f t="shared" si="4"/>
        <v>17</v>
      </c>
      <c r="N19" s="120">
        <f t="shared" si="5"/>
        <v>0</v>
      </c>
      <c r="O19" s="115">
        <f t="shared" si="6"/>
        <v>0</v>
      </c>
      <c r="P19" s="115">
        <f t="shared" si="7"/>
        <v>0</v>
      </c>
      <c r="Q19" s="115">
        <f t="shared" si="8"/>
        <v>0</v>
      </c>
      <c r="R19" s="115">
        <f t="shared" si="9"/>
        <v>0</v>
      </c>
      <c r="S19" s="118">
        <f t="shared" si="10"/>
        <v>0</v>
      </c>
      <c r="T19" s="118">
        <f t="shared" si="11"/>
        <v>0</v>
      </c>
      <c r="U19" s="119">
        <f>if('Daily Time  Readings Log'!J22&lt;F19,(F19-'Daily Time  Readings Log'!J22),0)</f>
        <v>0.3541666667</v>
      </c>
      <c r="V19" s="121">
        <f t="shared" si="12"/>
        <v>8.5</v>
      </c>
      <c r="W19" s="121">
        <f>if('Daily Time  Readings Log'!J22&lt;F19,(AE19),V19)</f>
        <v>24</v>
      </c>
      <c r="X19" s="121">
        <f t="shared" si="13"/>
        <v>8.5</v>
      </c>
      <c r="Y19" s="115">
        <f>IF(WEEKDAY('Daily Time  Readings Log'!A22,2)&gt;5,1,0)</f>
        <v>1</v>
      </c>
      <c r="Z19" s="118">
        <f t="shared" si="14"/>
        <v>8.5</v>
      </c>
      <c r="AA19" s="122">
        <f t="shared" si="15"/>
        <v>0</v>
      </c>
      <c r="AB19" s="122">
        <f t="shared" si="16"/>
        <v>24</v>
      </c>
      <c r="AC19" s="122">
        <f t="shared" si="17"/>
        <v>0</v>
      </c>
      <c r="AD19" s="122">
        <f t="shared" si="18"/>
        <v>24</v>
      </c>
      <c r="AE19" s="122">
        <f t="shared" si="19"/>
        <v>24</v>
      </c>
      <c r="AF19" s="122">
        <f t="shared" si="20"/>
        <v>24</v>
      </c>
      <c r="AG19" s="122">
        <f t="shared" si="21"/>
        <v>0</v>
      </c>
      <c r="AH19" s="122">
        <f t="shared" si="22"/>
        <v>24</v>
      </c>
      <c r="AI19" s="120">
        <f t="shared" ref="AI19:AJ19" si="42">sum(AG19+AM19)</f>
        <v>0</v>
      </c>
      <c r="AJ19" s="120">
        <f t="shared" si="42"/>
        <v>24</v>
      </c>
      <c r="AM19" s="120">
        <f t="shared" si="24"/>
        <v>0</v>
      </c>
      <c r="AN19" s="120">
        <f t="shared" si="25"/>
        <v>0</v>
      </c>
      <c r="AO19" s="120">
        <f t="shared" si="26"/>
        <v>2</v>
      </c>
      <c r="AP19" s="120">
        <f>if('Daily Time  Readings Log'!J22&lt;F19,1,0)</f>
        <v>1</v>
      </c>
      <c r="AQ19" s="120">
        <f>if('Daily Time  Readings Log'!J22&gt;G19,1,0)</f>
        <v>0</v>
      </c>
      <c r="AR19" s="120">
        <f>sum('Daily Time  Readings Log'!L22/60)</f>
        <v>0</v>
      </c>
      <c r="AS19" s="123">
        <v>55.39</v>
      </c>
      <c r="AT19" s="123">
        <v>83.1700000000002</v>
      </c>
      <c r="AU19" s="123">
        <f>sum('Daily Time  Readings Log'!N22*AS19)</f>
        <v>0</v>
      </c>
      <c r="AV19" s="123">
        <f>sum('Daily Time  Readings Log'!O22*AT19)</f>
        <v>0</v>
      </c>
      <c r="AW19" s="123">
        <f t="shared" si="27"/>
        <v>0</v>
      </c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</row>
    <row r="20">
      <c r="F20" s="116">
        <v>0.3541666666666667</v>
      </c>
      <c r="G20" s="116">
        <v>0.7083333333333334</v>
      </c>
      <c r="H20" s="117">
        <f>sum('Daily Time  Readings Log'!K23-'Daily Time  Readings Log'!J23)</f>
        <v>0</v>
      </c>
      <c r="I20" s="118">
        <f t="shared" si="2"/>
        <v>0</v>
      </c>
      <c r="J20" s="118">
        <f t="shared" si="3"/>
        <v>24</v>
      </c>
      <c r="K20" s="119">
        <f>if('Daily Time  Readings Log'!K23&gt;G20,('Daily Time  Readings Log'!K23-G20),0)</f>
        <v>0</v>
      </c>
      <c r="L20" s="119">
        <f>sum(G20-'Daily Time  Readings Log'!J23)</f>
        <v>0.7083333333</v>
      </c>
      <c r="M20" s="120">
        <f t="shared" si="4"/>
        <v>17</v>
      </c>
      <c r="N20" s="120">
        <f t="shared" si="5"/>
        <v>0</v>
      </c>
      <c r="O20" s="115">
        <f t="shared" si="6"/>
        <v>0</v>
      </c>
      <c r="P20" s="115">
        <f t="shared" si="7"/>
        <v>0</v>
      </c>
      <c r="Q20" s="122">
        <f t="shared" si="8"/>
        <v>0</v>
      </c>
      <c r="R20" s="122">
        <f t="shared" si="9"/>
        <v>0</v>
      </c>
      <c r="S20" s="118">
        <f t="shared" si="10"/>
        <v>0</v>
      </c>
      <c r="T20" s="118">
        <f t="shared" si="11"/>
        <v>0</v>
      </c>
      <c r="U20" s="119">
        <f>if('Daily Time  Readings Log'!J23&lt;F20,(F20-'Daily Time  Readings Log'!J23),0)</f>
        <v>0.3541666667</v>
      </c>
      <c r="V20" s="121">
        <f t="shared" si="12"/>
        <v>8.5</v>
      </c>
      <c r="W20" s="121">
        <f>if('Daily Time  Readings Log'!J23&lt;F20,(AE20),V20)</f>
        <v>24</v>
      </c>
      <c r="X20" s="121">
        <f t="shared" si="13"/>
        <v>8.5</v>
      </c>
      <c r="Y20" s="115">
        <f>IF(WEEKDAY('Daily Time  Readings Log'!A23,2)&gt;5,1,0)</f>
        <v>1</v>
      </c>
      <c r="Z20" s="118">
        <f t="shared" si="14"/>
        <v>8.5</v>
      </c>
      <c r="AA20" s="122">
        <f t="shared" si="15"/>
        <v>0</v>
      </c>
      <c r="AB20" s="118">
        <f t="shared" si="16"/>
        <v>24</v>
      </c>
      <c r="AC20" s="122">
        <f t="shared" si="17"/>
        <v>0</v>
      </c>
      <c r="AD20" s="118">
        <f t="shared" si="18"/>
        <v>24</v>
      </c>
      <c r="AE20" s="122">
        <f t="shared" si="19"/>
        <v>24</v>
      </c>
      <c r="AF20" s="122">
        <f t="shared" si="20"/>
        <v>24</v>
      </c>
      <c r="AG20" s="122">
        <f t="shared" si="21"/>
        <v>0</v>
      </c>
      <c r="AH20" s="122">
        <f t="shared" si="22"/>
        <v>24</v>
      </c>
      <c r="AI20" s="120">
        <f t="shared" ref="AI20:AJ20" si="43">sum(AG20+AM20)</f>
        <v>0</v>
      </c>
      <c r="AJ20" s="120">
        <f t="shared" si="43"/>
        <v>24</v>
      </c>
      <c r="AM20" s="120">
        <f t="shared" si="24"/>
        <v>0</v>
      </c>
      <c r="AN20" s="120">
        <f t="shared" si="25"/>
        <v>0</v>
      </c>
      <c r="AO20" s="120">
        <f t="shared" si="26"/>
        <v>2</v>
      </c>
      <c r="AP20" s="120">
        <f>if('Daily Time  Readings Log'!J23&lt;F20,1,0)</f>
        <v>1</v>
      </c>
      <c r="AQ20" s="120">
        <f>if('Daily Time  Readings Log'!J23&gt;G20,1,0)</f>
        <v>0</v>
      </c>
      <c r="AR20" s="120">
        <f>sum('Daily Time  Readings Log'!L23/60)</f>
        <v>0</v>
      </c>
      <c r="AS20" s="123">
        <v>55.39</v>
      </c>
      <c r="AT20" s="123">
        <v>83.1700000000002</v>
      </c>
      <c r="AU20" s="123">
        <f>sum('Daily Time  Readings Log'!N23*AS20)</f>
        <v>0</v>
      </c>
      <c r="AV20" s="123">
        <f>sum('Daily Time  Readings Log'!O23*AT20)</f>
        <v>0</v>
      </c>
      <c r="AW20" s="123">
        <f t="shared" si="27"/>
        <v>0</v>
      </c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</row>
    <row r="21">
      <c r="F21" s="116">
        <v>0.3541666666666667</v>
      </c>
      <c r="G21" s="116">
        <v>0.7083333333333334</v>
      </c>
      <c r="H21" s="117">
        <f>sum('Daily Time  Readings Log'!K24-'Daily Time  Readings Log'!J24)</f>
        <v>0</v>
      </c>
      <c r="I21" s="118">
        <f t="shared" si="2"/>
        <v>0</v>
      </c>
      <c r="J21" s="118">
        <f t="shared" si="3"/>
        <v>24</v>
      </c>
      <c r="K21" s="119">
        <f>if('Daily Time  Readings Log'!K24&gt;G21,('Daily Time  Readings Log'!K24-G21),0)</f>
        <v>0</v>
      </c>
      <c r="L21" s="119">
        <f>sum(G21-'Daily Time  Readings Log'!J24)</f>
        <v>0.7083333333</v>
      </c>
      <c r="M21" s="120">
        <f t="shared" si="4"/>
        <v>17</v>
      </c>
      <c r="N21" s="115">
        <f t="shared" si="5"/>
        <v>0</v>
      </c>
      <c r="O21" s="115">
        <f t="shared" si="6"/>
        <v>0</v>
      </c>
      <c r="P21" s="115">
        <f t="shared" si="7"/>
        <v>0</v>
      </c>
      <c r="Q21" s="115">
        <f t="shared" si="8"/>
        <v>0</v>
      </c>
      <c r="R21" s="115">
        <f t="shared" si="9"/>
        <v>0</v>
      </c>
      <c r="S21" s="118">
        <f t="shared" si="10"/>
        <v>0</v>
      </c>
      <c r="T21" s="118">
        <f t="shared" si="11"/>
        <v>0</v>
      </c>
      <c r="U21" s="119">
        <f>if('Daily Time  Readings Log'!J24&lt;F21,(F21-'Daily Time  Readings Log'!J24),0)</f>
        <v>0.3541666667</v>
      </c>
      <c r="V21" s="121">
        <f t="shared" si="12"/>
        <v>8.5</v>
      </c>
      <c r="W21" s="121">
        <f>if('Daily Time  Readings Log'!J24&lt;F21,(AE21),V21)</f>
        <v>24</v>
      </c>
      <c r="X21" s="121">
        <f t="shared" si="13"/>
        <v>8.5</v>
      </c>
      <c r="Y21" s="115">
        <f>IF(WEEKDAY('Daily Time  Readings Log'!A24,2)&gt;5,1,0)</f>
        <v>1</v>
      </c>
      <c r="Z21" s="118">
        <f t="shared" si="14"/>
        <v>8.5</v>
      </c>
      <c r="AA21" s="122">
        <f t="shared" si="15"/>
        <v>0</v>
      </c>
      <c r="AB21" s="118">
        <f t="shared" si="16"/>
        <v>24</v>
      </c>
      <c r="AC21" s="122">
        <f t="shared" si="17"/>
        <v>0</v>
      </c>
      <c r="AD21" s="118">
        <f t="shared" si="18"/>
        <v>24</v>
      </c>
      <c r="AE21" s="122">
        <f t="shared" si="19"/>
        <v>24</v>
      </c>
      <c r="AF21" s="122">
        <f t="shared" si="20"/>
        <v>24</v>
      </c>
      <c r="AG21" s="122">
        <f t="shared" si="21"/>
        <v>0</v>
      </c>
      <c r="AH21" s="122">
        <f t="shared" si="22"/>
        <v>24</v>
      </c>
      <c r="AI21" s="120">
        <f t="shared" ref="AI21:AJ21" si="44">sum(AG21+AM21)</f>
        <v>0</v>
      </c>
      <c r="AJ21" s="120">
        <f t="shared" si="44"/>
        <v>24</v>
      </c>
      <c r="AM21" s="120">
        <f t="shared" si="24"/>
        <v>0</v>
      </c>
      <c r="AN21" s="120">
        <f t="shared" si="25"/>
        <v>0</v>
      </c>
      <c r="AO21" s="120">
        <f t="shared" si="26"/>
        <v>2</v>
      </c>
      <c r="AP21" s="120">
        <f>if('Daily Time  Readings Log'!J24&lt;F21,1,0)</f>
        <v>1</v>
      </c>
      <c r="AQ21" s="120">
        <f>if('Daily Time  Readings Log'!J24&gt;G21,1,0)</f>
        <v>0</v>
      </c>
      <c r="AR21" s="120">
        <f>sum('Daily Time  Readings Log'!L24/60)</f>
        <v>0</v>
      </c>
      <c r="AS21" s="123">
        <v>55.39</v>
      </c>
      <c r="AT21" s="123">
        <v>83.1700000000002</v>
      </c>
      <c r="AU21" s="123">
        <f>sum('Daily Time  Readings Log'!N24*AS21)</f>
        <v>0</v>
      </c>
      <c r="AV21" s="123">
        <f>sum('Daily Time  Readings Log'!O24*AT21)</f>
        <v>0</v>
      </c>
      <c r="AW21" s="123">
        <f t="shared" si="27"/>
        <v>0</v>
      </c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</row>
    <row r="22">
      <c r="F22" s="116">
        <v>0.3541666666666667</v>
      </c>
      <c r="G22" s="116">
        <v>0.7083333333333334</v>
      </c>
      <c r="H22" s="117">
        <f>sum('Daily Time  Readings Log'!K25-'Daily Time  Readings Log'!J25)</f>
        <v>0</v>
      </c>
      <c r="I22" s="118">
        <f t="shared" si="2"/>
        <v>0</v>
      </c>
      <c r="J22" s="118">
        <f t="shared" si="3"/>
        <v>24</v>
      </c>
      <c r="K22" s="119">
        <f>if('Daily Time  Readings Log'!K25&gt;G22,('Daily Time  Readings Log'!K25-G22),0)</f>
        <v>0</v>
      </c>
      <c r="L22" s="119">
        <f>sum(G22-'Daily Time  Readings Log'!J25)</f>
        <v>0.7083333333</v>
      </c>
      <c r="M22" s="120">
        <f t="shared" si="4"/>
        <v>17</v>
      </c>
      <c r="N22" s="120">
        <f t="shared" si="5"/>
        <v>0</v>
      </c>
      <c r="O22" s="115">
        <f t="shared" si="6"/>
        <v>0</v>
      </c>
      <c r="P22" s="115">
        <f t="shared" si="7"/>
        <v>0</v>
      </c>
      <c r="Q22" s="115">
        <f t="shared" si="8"/>
        <v>0</v>
      </c>
      <c r="R22" s="115">
        <f t="shared" si="9"/>
        <v>0</v>
      </c>
      <c r="S22" s="118">
        <f t="shared" si="10"/>
        <v>0</v>
      </c>
      <c r="T22" s="118">
        <f t="shared" si="11"/>
        <v>0</v>
      </c>
      <c r="U22" s="119">
        <f>if('Daily Time  Readings Log'!J25&lt;F22,(F22-'Daily Time  Readings Log'!J25),0)</f>
        <v>0.3541666667</v>
      </c>
      <c r="V22" s="121">
        <f t="shared" si="12"/>
        <v>8.5</v>
      </c>
      <c r="W22" s="121">
        <f>if('Daily Time  Readings Log'!J25&lt;F22,(AE22),V22)</f>
        <v>24</v>
      </c>
      <c r="X22" s="121">
        <f t="shared" si="13"/>
        <v>8.5</v>
      </c>
      <c r="Y22" s="115">
        <f>IF(WEEKDAY('Daily Time  Readings Log'!A25,2)&gt;5,1,0)</f>
        <v>1</v>
      </c>
      <c r="Z22" s="118">
        <f t="shared" si="14"/>
        <v>8.5</v>
      </c>
      <c r="AA22" s="122">
        <f t="shared" si="15"/>
        <v>0</v>
      </c>
      <c r="AB22" s="118">
        <f t="shared" si="16"/>
        <v>24</v>
      </c>
      <c r="AC22" s="122">
        <f t="shared" si="17"/>
        <v>0</v>
      </c>
      <c r="AD22" s="118">
        <f t="shared" si="18"/>
        <v>24</v>
      </c>
      <c r="AE22" s="122">
        <f t="shared" si="19"/>
        <v>24</v>
      </c>
      <c r="AF22" s="122">
        <f t="shared" si="20"/>
        <v>24</v>
      </c>
      <c r="AG22" s="122">
        <f t="shared" si="21"/>
        <v>0</v>
      </c>
      <c r="AH22" s="122">
        <f t="shared" si="22"/>
        <v>24</v>
      </c>
      <c r="AI22" s="120">
        <f t="shared" ref="AI22:AJ22" si="45">sum(AG22+AM22)</f>
        <v>0</v>
      </c>
      <c r="AJ22" s="120">
        <f t="shared" si="45"/>
        <v>24</v>
      </c>
      <c r="AM22" s="120">
        <f t="shared" si="24"/>
        <v>0</v>
      </c>
      <c r="AN22" s="120">
        <f t="shared" si="25"/>
        <v>0</v>
      </c>
      <c r="AO22" s="120">
        <f t="shared" si="26"/>
        <v>2</v>
      </c>
      <c r="AP22" s="120">
        <f>if('Daily Time  Readings Log'!J25&lt;F22,1,0)</f>
        <v>1</v>
      </c>
      <c r="AQ22" s="120">
        <f>if('Daily Time  Readings Log'!J25&gt;G22,1,0)</f>
        <v>0</v>
      </c>
      <c r="AR22" s="120">
        <f>sum('Daily Time  Readings Log'!L25/60)</f>
        <v>0</v>
      </c>
      <c r="AS22" s="123">
        <v>55.39</v>
      </c>
      <c r="AT22" s="123">
        <v>83.1700000000002</v>
      </c>
      <c r="AU22" s="123">
        <f>sum('Daily Time  Readings Log'!N25*AS22)</f>
        <v>0</v>
      </c>
      <c r="AV22" s="123">
        <f>sum('Daily Time  Readings Log'!O25*AT22)</f>
        <v>0</v>
      </c>
      <c r="AW22" s="123">
        <f t="shared" si="27"/>
        <v>0</v>
      </c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</row>
    <row r="23">
      <c r="F23" s="116">
        <v>0.3541666666666667</v>
      </c>
      <c r="G23" s="116">
        <v>0.7083333333333334</v>
      </c>
      <c r="H23" s="117">
        <f>sum('Daily Time  Readings Log'!K26-'Daily Time  Readings Log'!J26)</f>
        <v>0</v>
      </c>
      <c r="I23" s="118">
        <f t="shared" si="2"/>
        <v>0</v>
      </c>
      <c r="J23" s="118">
        <f t="shared" si="3"/>
        <v>24</v>
      </c>
      <c r="K23" s="119">
        <f>if('Daily Time  Readings Log'!K26&gt;G23,('Daily Time  Readings Log'!K26-G23),0)</f>
        <v>0</v>
      </c>
      <c r="L23" s="119">
        <f>sum(G23-'Daily Time  Readings Log'!J26)</f>
        <v>0.7083333333</v>
      </c>
      <c r="M23" s="120">
        <f t="shared" si="4"/>
        <v>17</v>
      </c>
      <c r="N23" s="115">
        <f t="shared" si="5"/>
        <v>0</v>
      </c>
      <c r="O23" s="115">
        <f t="shared" si="6"/>
        <v>0</v>
      </c>
      <c r="P23" s="115">
        <f t="shared" si="7"/>
        <v>0</v>
      </c>
      <c r="Q23" s="115">
        <f t="shared" si="8"/>
        <v>0</v>
      </c>
      <c r="R23" s="115">
        <f t="shared" si="9"/>
        <v>0</v>
      </c>
      <c r="S23" s="118">
        <f t="shared" si="10"/>
        <v>0</v>
      </c>
      <c r="T23" s="118">
        <f t="shared" si="11"/>
        <v>0</v>
      </c>
      <c r="U23" s="119">
        <f>if('Daily Time  Readings Log'!J26&lt;F23,(F23-'Daily Time  Readings Log'!J26),0)</f>
        <v>0.3541666667</v>
      </c>
      <c r="V23" s="121">
        <f t="shared" si="12"/>
        <v>8.5</v>
      </c>
      <c r="W23" s="121">
        <f>if('Daily Time  Readings Log'!J26&lt;F23,(AE23),V23)</f>
        <v>24</v>
      </c>
      <c r="X23" s="121">
        <f t="shared" si="13"/>
        <v>8.5</v>
      </c>
      <c r="Y23" s="115">
        <f>IF(WEEKDAY('Daily Time  Readings Log'!A26,2)&gt;5,1,0)</f>
        <v>1</v>
      </c>
      <c r="Z23" s="118">
        <f t="shared" si="14"/>
        <v>8.5</v>
      </c>
      <c r="AA23" s="122">
        <f t="shared" si="15"/>
        <v>0</v>
      </c>
      <c r="AB23" s="118">
        <f t="shared" si="16"/>
        <v>24</v>
      </c>
      <c r="AC23" s="122">
        <f t="shared" si="17"/>
        <v>0</v>
      </c>
      <c r="AD23" s="122">
        <f t="shared" si="18"/>
        <v>24</v>
      </c>
      <c r="AE23" s="122">
        <f t="shared" si="19"/>
        <v>24</v>
      </c>
      <c r="AF23" s="122">
        <f t="shared" si="20"/>
        <v>24</v>
      </c>
      <c r="AG23" s="122">
        <f t="shared" si="21"/>
        <v>0</v>
      </c>
      <c r="AH23" s="122">
        <f t="shared" si="22"/>
        <v>24</v>
      </c>
      <c r="AI23" s="120">
        <f t="shared" ref="AI23:AJ23" si="46">sum(AG23+AM23)</f>
        <v>0</v>
      </c>
      <c r="AJ23" s="120">
        <f t="shared" si="46"/>
        <v>24</v>
      </c>
      <c r="AM23" s="120">
        <f t="shared" si="24"/>
        <v>0</v>
      </c>
      <c r="AN23" s="120">
        <f t="shared" si="25"/>
        <v>0</v>
      </c>
      <c r="AO23" s="120">
        <f t="shared" si="26"/>
        <v>2</v>
      </c>
      <c r="AP23" s="120">
        <f>if('Daily Time  Readings Log'!J26&lt;F23,1,0)</f>
        <v>1</v>
      </c>
      <c r="AQ23" s="120">
        <f>if('Daily Time  Readings Log'!J26&gt;G23,1,0)</f>
        <v>0</v>
      </c>
      <c r="AR23" s="120">
        <f>sum('Daily Time  Readings Log'!L26/60)</f>
        <v>0</v>
      </c>
      <c r="AS23" s="123">
        <v>55.39</v>
      </c>
      <c r="AT23" s="123">
        <v>83.1700000000002</v>
      </c>
      <c r="AU23" s="123">
        <f>sum('Daily Time  Readings Log'!N26*AS23)</f>
        <v>0</v>
      </c>
      <c r="AV23" s="123">
        <f>sum('Daily Time  Readings Log'!O26*AT23)</f>
        <v>0</v>
      </c>
      <c r="AW23" s="123">
        <f t="shared" si="27"/>
        <v>0</v>
      </c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</row>
    <row r="24">
      <c r="F24" s="116">
        <v>0.3541666666666667</v>
      </c>
      <c r="G24" s="116">
        <v>0.7083333333333334</v>
      </c>
      <c r="H24" s="117">
        <f>sum('Daily Time  Readings Log'!K27-'Daily Time  Readings Log'!J27)</f>
        <v>0</v>
      </c>
      <c r="I24" s="118">
        <f t="shared" si="2"/>
        <v>0</v>
      </c>
      <c r="J24" s="118">
        <f t="shared" si="3"/>
        <v>24</v>
      </c>
      <c r="K24" s="119">
        <f>if('Daily Time  Readings Log'!K27&gt;G24,('Daily Time  Readings Log'!K27-G24),0)</f>
        <v>0</v>
      </c>
      <c r="L24" s="119">
        <f>sum(G24-'Daily Time  Readings Log'!J27)</f>
        <v>0.7083333333</v>
      </c>
      <c r="M24" s="120">
        <f t="shared" si="4"/>
        <v>17</v>
      </c>
      <c r="N24" s="115">
        <f t="shared" si="5"/>
        <v>0</v>
      </c>
      <c r="O24" s="115">
        <f t="shared" si="6"/>
        <v>0</v>
      </c>
      <c r="P24" s="115">
        <f t="shared" si="7"/>
        <v>0</v>
      </c>
      <c r="Q24" s="115">
        <f t="shared" si="8"/>
        <v>0</v>
      </c>
      <c r="R24" s="115">
        <f t="shared" si="9"/>
        <v>0</v>
      </c>
      <c r="S24" s="118">
        <f t="shared" si="10"/>
        <v>0</v>
      </c>
      <c r="T24" s="118">
        <f t="shared" si="11"/>
        <v>0</v>
      </c>
      <c r="U24" s="119">
        <f>if('Daily Time  Readings Log'!J27&lt;F24,(F24-'Daily Time  Readings Log'!J27),0)</f>
        <v>0.3541666667</v>
      </c>
      <c r="V24" s="121">
        <f t="shared" si="12"/>
        <v>8.5</v>
      </c>
      <c r="W24" s="121">
        <f>if('Daily Time  Readings Log'!J27&lt;F24,(AE24),V24)</f>
        <v>24</v>
      </c>
      <c r="X24" s="121">
        <f t="shared" si="13"/>
        <v>8.5</v>
      </c>
      <c r="Y24" s="115">
        <f>IF(WEEKDAY('Daily Time  Readings Log'!A27,2)&gt;5,1,0)</f>
        <v>1</v>
      </c>
      <c r="Z24" s="118">
        <f t="shared" si="14"/>
        <v>8.5</v>
      </c>
      <c r="AA24" s="122">
        <f t="shared" si="15"/>
        <v>0</v>
      </c>
      <c r="AB24" s="118">
        <f t="shared" si="16"/>
        <v>24</v>
      </c>
      <c r="AC24" s="122">
        <f t="shared" si="17"/>
        <v>0</v>
      </c>
      <c r="AD24" s="118">
        <f t="shared" si="18"/>
        <v>24</v>
      </c>
      <c r="AE24" s="122">
        <f t="shared" si="19"/>
        <v>24</v>
      </c>
      <c r="AF24" s="122">
        <f t="shared" si="20"/>
        <v>24</v>
      </c>
      <c r="AG24" s="122">
        <f t="shared" si="21"/>
        <v>0</v>
      </c>
      <c r="AH24" s="122">
        <f t="shared" si="22"/>
        <v>24</v>
      </c>
      <c r="AI24" s="120">
        <f t="shared" ref="AI24:AJ24" si="47">sum(AG24+AM24)</f>
        <v>0</v>
      </c>
      <c r="AJ24" s="120">
        <f t="shared" si="47"/>
        <v>24</v>
      </c>
      <c r="AM24" s="120">
        <f t="shared" si="24"/>
        <v>0</v>
      </c>
      <c r="AN24" s="120">
        <f t="shared" si="25"/>
        <v>0</v>
      </c>
      <c r="AO24" s="120">
        <f t="shared" si="26"/>
        <v>2</v>
      </c>
      <c r="AP24" s="120">
        <f>if('Daily Time  Readings Log'!J27&lt;F24,1,0)</f>
        <v>1</v>
      </c>
      <c r="AQ24" s="120">
        <f>if('Daily Time  Readings Log'!J27&gt;G24,1,0)</f>
        <v>0</v>
      </c>
      <c r="AR24" s="120">
        <f>sum('Daily Time  Readings Log'!L27/60)</f>
        <v>0</v>
      </c>
      <c r="AS24" s="123">
        <v>55.39</v>
      </c>
      <c r="AT24" s="123">
        <v>83.1700000000002</v>
      </c>
      <c r="AU24" s="123">
        <f>sum('Daily Time  Readings Log'!N27*AS24)</f>
        <v>0</v>
      </c>
      <c r="AV24" s="123">
        <f>sum('Daily Time  Readings Log'!O27*AT24)</f>
        <v>0</v>
      </c>
      <c r="AW24" s="123">
        <f t="shared" si="27"/>
        <v>0</v>
      </c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</row>
    <row r="25">
      <c r="F25" s="116">
        <v>0.3541666666666667</v>
      </c>
      <c r="G25" s="116">
        <v>0.7083333333333334</v>
      </c>
      <c r="H25" s="117">
        <f>sum('Daily Time  Readings Log'!K28-'Daily Time  Readings Log'!J28)</f>
        <v>0</v>
      </c>
      <c r="I25" s="118">
        <f t="shared" si="2"/>
        <v>0</v>
      </c>
      <c r="J25" s="118">
        <f t="shared" si="3"/>
        <v>24</v>
      </c>
      <c r="K25" s="119">
        <f>if('Daily Time  Readings Log'!K28&gt;G25,('Daily Time  Readings Log'!K28-G25),0)</f>
        <v>0</v>
      </c>
      <c r="L25" s="119">
        <f>sum(G25-'Daily Time  Readings Log'!J28)</f>
        <v>0.7083333333</v>
      </c>
      <c r="M25" s="120">
        <f t="shared" si="4"/>
        <v>17</v>
      </c>
      <c r="N25" s="120">
        <f t="shared" si="5"/>
        <v>0</v>
      </c>
      <c r="O25" s="115">
        <f t="shared" si="6"/>
        <v>0</v>
      </c>
      <c r="P25" s="115">
        <f t="shared" si="7"/>
        <v>0</v>
      </c>
      <c r="Q25" s="122">
        <f t="shared" si="8"/>
        <v>0</v>
      </c>
      <c r="R25" s="122">
        <f t="shared" si="9"/>
        <v>0</v>
      </c>
      <c r="S25" s="118">
        <f t="shared" si="10"/>
        <v>0</v>
      </c>
      <c r="T25" s="118">
        <f t="shared" si="11"/>
        <v>0</v>
      </c>
      <c r="U25" s="119">
        <f>if('Daily Time  Readings Log'!J28&lt;F25,(F25-'Daily Time  Readings Log'!J28),0)</f>
        <v>0.3541666667</v>
      </c>
      <c r="V25" s="121">
        <f t="shared" si="12"/>
        <v>8.5</v>
      </c>
      <c r="W25" s="121">
        <f>if('Daily Time  Readings Log'!J28&lt;F25,(AE25),V25)</f>
        <v>24</v>
      </c>
      <c r="X25" s="121">
        <f t="shared" si="13"/>
        <v>8.5</v>
      </c>
      <c r="Y25" s="115">
        <f>IF(WEEKDAY('Daily Time  Readings Log'!A28,2)&gt;5,1,0)</f>
        <v>1</v>
      </c>
      <c r="Z25" s="118">
        <f t="shared" si="14"/>
        <v>8.5</v>
      </c>
      <c r="AA25" s="122">
        <f t="shared" si="15"/>
        <v>0</v>
      </c>
      <c r="AB25" s="118">
        <f t="shared" si="16"/>
        <v>24</v>
      </c>
      <c r="AC25" s="122">
        <f t="shared" si="17"/>
        <v>0</v>
      </c>
      <c r="AD25" s="118">
        <f t="shared" si="18"/>
        <v>24</v>
      </c>
      <c r="AE25" s="122">
        <f t="shared" si="19"/>
        <v>24</v>
      </c>
      <c r="AF25" s="122">
        <f t="shared" si="20"/>
        <v>24</v>
      </c>
      <c r="AG25" s="122">
        <f t="shared" si="21"/>
        <v>0</v>
      </c>
      <c r="AH25" s="122">
        <f t="shared" si="22"/>
        <v>24</v>
      </c>
      <c r="AI25" s="120">
        <f t="shared" ref="AI25:AJ25" si="48">sum(AG25+AM25)</f>
        <v>0</v>
      </c>
      <c r="AJ25" s="120">
        <f t="shared" si="48"/>
        <v>24</v>
      </c>
      <c r="AM25" s="120">
        <f t="shared" si="24"/>
        <v>0</v>
      </c>
      <c r="AN25" s="120">
        <f t="shared" si="25"/>
        <v>0</v>
      </c>
      <c r="AO25" s="120">
        <f t="shared" si="26"/>
        <v>2</v>
      </c>
      <c r="AP25" s="120">
        <f>if('Daily Time  Readings Log'!J28&lt;F25,1,0)</f>
        <v>1</v>
      </c>
      <c r="AQ25" s="120">
        <f>if('Daily Time  Readings Log'!J28&gt;G25,1,0)</f>
        <v>0</v>
      </c>
      <c r="AR25" s="120">
        <f>sum('Daily Time  Readings Log'!L28/60)</f>
        <v>0</v>
      </c>
      <c r="AS25" s="123">
        <v>55.39</v>
      </c>
      <c r="AT25" s="123">
        <v>83.1700000000002</v>
      </c>
      <c r="AU25" s="123">
        <f>sum('Daily Time  Readings Log'!N28*AS25)</f>
        <v>0</v>
      </c>
      <c r="AV25" s="123">
        <f>sum('Daily Time  Readings Log'!O28*AT25)</f>
        <v>0</v>
      </c>
      <c r="AW25" s="123">
        <f t="shared" si="27"/>
        <v>0</v>
      </c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</row>
    <row r="26">
      <c r="F26" s="116">
        <v>0.3541666666666667</v>
      </c>
      <c r="G26" s="116">
        <v>0.7083333333333334</v>
      </c>
      <c r="H26" s="117">
        <f>sum('Daily Time  Readings Log'!K29-'Daily Time  Readings Log'!J29)</f>
        <v>0</v>
      </c>
      <c r="I26" s="118">
        <f t="shared" si="2"/>
        <v>0</v>
      </c>
      <c r="J26" s="118">
        <f t="shared" si="3"/>
        <v>24</v>
      </c>
      <c r="K26" s="119">
        <f>if('Daily Time  Readings Log'!K29&gt;G26,('Daily Time  Readings Log'!K29-G26),0)</f>
        <v>0</v>
      </c>
      <c r="L26" s="119">
        <f>sum(G26-'Daily Time  Readings Log'!J29)</f>
        <v>0.7083333333</v>
      </c>
      <c r="M26" s="120">
        <f t="shared" si="4"/>
        <v>17</v>
      </c>
      <c r="N26" s="115">
        <f t="shared" si="5"/>
        <v>0</v>
      </c>
      <c r="O26" s="115">
        <f t="shared" si="6"/>
        <v>0</v>
      </c>
      <c r="P26" s="115">
        <f t="shared" si="7"/>
        <v>0</v>
      </c>
      <c r="Q26" s="115">
        <f t="shared" si="8"/>
        <v>0</v>
      </c>
      <c r="R26" s="115">
        <f t="shared" si="9"/>
        <v>0</v>
      </c>
      <c r="S26" s="118">
        <f t="shared" si="10"/>
        <v>0</v>
      </c>
      <c r="T26" s="118">
        <f t="shared" si="11"/>
        <v>0</v>
      </c>
      <c r="U26" s="119">
        <f>if('Daily Time  Readings Log'!J29&lt;F26,(F26-'Daily Time  Readings Log'!J29),0)</f>
        <v>0.3541666667</v>
      </c>
      <c r="V26" s="121">
        <f t="shared" si="12"/>
        <v>8.5</v>
      </c>
      <c r="W26" s="121">
        <f>if('Daily Time  Readings Log'!J29&lt;F26,(AE26),V26)</f>
        <v>24</v>
      </c>
      <c r="X26" s="121">
        <f t="shared" si="13"/>
        <v>8.5</v>
      </c>
      <c r="Y26" s="115">
        <f>IF(WEEKDAY('Daily Time  Readings Log'!A29,2)&gt;5,1,0)</f>
        <v>1</v>
      </c>
      <c r="Z26" s="118">
        <f t="shared" si="14"/>
        <v>8.5</v>
      </c>
      <c r="AA26" s="122">
        <f t="shared" si="15"/>
        <v>0</v>
      </c>
      <c r="AB26" s="118">
        <f t="shared" si="16"/>
        <v>24</v>
      </c>
      <c r="AC26" s="122">
        <f t="shared" si="17"/>
        <v>0</v>
      </c>
      <c r="AD26" s="118">
        <f t="shared" si="18"/>
        <v>24</v>
      </c>
      <c r="AE26" s="122">
        <f t="shared" si="19"/>
        <v>24</v>
      </c>
      <c r="AF26" s="122">
        <f t="shared" si="20"/>
        <v>24</v>
      </c>
      <c r="AG26" s="122">
        <f t="shared" si="21"/>
        <v>0</v>
      </c>
      <c r="AH26" s="122">
        <f t="shared" si="22"/>
        <v>24</v>
      </c>
      <c r="AI26" s="120">
        <f t="shared" ref="AI26:AJ26" si="49">sum(AG26+AM26)</f>
        <v>0</v>
      </c>
      <c r="AJ26" s="120">
        <f t="shared" si="49"/>
        <v>24</v>
      </c>
      <c r="AM26" s="120">
        <f t="shared" si="24"/>
        <v>0</v>
      </c>
      <c r="AN26" s="120">
        <f t="shared" si="25"/>
        <v>0</v>
      </c>
      <c r="AO26" s="120">
        <f t="shared" si="26"/>
        <v>2</v>
      </c>
      <c r="AP26" s="120">
        <f>if('Daily Time  Readings Log'!J29&lt;F26,1,0)</f>
        <v>1</v>
      </c>
      <c r="AQ26" s="120">
        <f>if('Daily Time  Readings Log'!J29&gt;G26,1,0)</f>
        <v>0</v>
      </c>
      <c r="AR26" s="120">
        <f>sum('Daily Time  Readings Log'!L29/60)</f>
        <v>0</v>
      </c>
      <c r="AS26" s="123">
        <v>55.39</v>
      </c>
      <c r="AT26" s="123">
        <v>83.1700000000002</v>
      </c>
      <c r="AU26" s="123">
        <f>sum('Daily Time  Readings Log'!N29*AS26)</f>
        <v>0</v>
      </c>
      <c r="AV26" s="123">
        <f>sum('Daily Time  Readings Log'!O29*AT26)</f>
        <v>0</v>
      </c>
      <c r="AW26" s="123">
        <f t="shared" si="27"/>
        <v>0</v>
      </c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</row>
    <row r="27">
      <c r="F27" s="116">
        <v>0.3541666666666667</v>
      </c>
      <c r="G27" s="116">
        <v>0.7083333333333334</v>
      </c>
      <c r="H27" s="117">
        <f>sum('Daily Time  Readings Log'!K30-'Daily Time  Readings Log'!J30)</f>
        <v>0</v>
      </c>
      <c r="I27" s="118">
        <f t="shared" si="2"/>
        <v>0</v>
      </c>
      <c r="J27" s="118">
        <f t="shared" si="3"/>
        <v>24</v>
      </c>
      <c r="K27" s="119">
        <f>if('Daily Time  Readings Log'!K30&gt;G27,('Daily Time  Readings Log'!K30-G27),0)</f>
        <v>0</v>
      </c>
      <c r="L27" s="119">
        <f>sum(G27-'Daily Time  Readings Log'!J30)</f>
        <v>0.7083333333</v>
      </c>
      <c r="M27" s="120">
        <f t="shared" si="4"/>
        <v>17</v>
      </c>
      <c r="N27" s="120">
        <f t="shared" si="5"/>
        <v>0</v>
      </c>
      <c r="O27" s="115">
        <f t="shared" si="6"/>
        <v>0</v>
      </c>
      <c r="P27" s="115">
        <f t="shared" si="7"/>
        <v>0</v>
      </c>
      <c r="Q27" s="122">
        <f t="shared" si="8"/>
        <v>0</v>
      </c>
      <c r="R27" s="122">
        <f t="shared" si="9"/>
        <v>0</v>
      </c>
      <c r="S27" s="118">
        <f t="shared" si="10"/>
        <v>0</v>
      </c>
      <c r="T27" s="118">
        <f t="shared" si="11"/>
        <v>0</v>
      </c>
      <c r="U27" s="119">
        <f>if('Daily Time  Readings Log'!J30&lt;F27,(F27-'Daily Time  Readings Log'!J30),0)</f>
        <v>0.3541666667</v>
      </c>
      <c r="V27" s="121">
        <f t="shared" si="12"/>
        <v>8.5</v>
      </c>
      <c r="W27" s="121">
        <f>if('Daily Time  Readings Log'!J30&lt;F27,(AE27),V27)</f>
        <v>24</v>
      </c>
      <c r="X27" s="121">
        <f t="shared" si="13"/>
        <v>8.5</v>
      </c>
      <c r="Y27" s="115">
        <f>IF(WEEKDAY('Daily Time  Readings Log'!A30,2)&gt;5,1,0)</f>
        <v>1</v>
      </c>
      <c r="Z27" s="118">
        <f t="shared" si="14"/>
        <v>8.5</v>
      </c>
      <c r="AA27" s="122">
        <f t="shared" si="15"/>
        <v>0</v>
      </c>
      <c r="AB27" s="118">
        <f t="shared" si="16"/>
        <v>24</v>
      </c>
      <c r="AC27" s="122">
        <f t="shared" si="17"/>
        <v>0</v>
      </c>
      <c r="AD27" s="118">
        <f t="shared" si="18"/>
        <v>24</v>
      </c>
      <c r="AE27" s="122">
        <f t="shared" si="19"/>
        <v>24</v>
      </c>
      <c r="AF27" s="122">
        <f t="shared" si="20"/>
        <v>24</v>
      </c>
      <c r="AG27" s="122">
        <f t="shared" si="21"/>
        <v>0</v>
      </c>
      <c r="AH27" s="122">
        <f t="shared" si="22"/>
        <v>24</v>
      </c>
      <c r="AI27" s="120">
        <f t="shared" ref="AI27:AJ27" si="50">sum(AG27+AM27)</f>
        <v>0</v>
      </c>
      <c r="AJ27" s="120">
        <f t="shared" si="50"/>
        <v>24</v>
      </c>
      <c r="AM27" s="120">
        <f t="shared" si="24"/>
        <v>0</v>
      </c>
      <c r="AN27" s="120">
        <f t="shared" si="25"/>
        <v>0</v>
      </c>
      <c r="AO27" s="120">
        <f t="shared" si="26"/>
        <v>2</v>
      </c>
      <c r="AP27" s="120">
        <f>if('Daily Time  Readings Log'!J30&lt;F27,1,0)</f>
        <v>1</v>
      </c>
      <c r="AQ27" s="120">
        <f>if('Daily Time  Readings Log'!J30&gt;G27,1,0)</f>
        <v>0</v>
      </c>
      <c r="AR27" s="120">
        <f>sum('Daily Time  Readings Log'!L30/60)</f>
        <v>0</v>
      </c>
      <c r="AS27" s="123">
        <v>55.39</v>
      </c>
      <c r="AT27" s="123">
        <v>83.1700000000002</v>
      </c>
      <c r="AU27" s="123">
        <f>sum('Daily Time  Readings Log'!N30*AS27)</f>
        <v>0</v>
      </c>
      <c r="AV27" s="123">
        <f>sum('Daily Time  Readings Log'!O30*AT27)</f>
        <v>0</v>
      </c>
      <c r="AW27" s="123">
        <f t="shared" si="27"/>
        <v>0</v>
      </c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</row>
    <row r="28">
      <c r="F28" s="116">
        <v>0.3541666666666667</v>
      </c>
      <c r="G28" s="116">
        <v>0.7083333333333334</v>
      </c>
      <c r="H28" s="117">
        <f>sum('Daily Time  Readings Log'!K31-'Daily Time  Readings Log'!J31)</f>
        <v>0</v>
      </c>
      <c r="I28" s="118">
        <f t="shared" si="2"/>
        <v>0</v>
      </c>
      <c r="J28" s="118">
        <f t="shared" si="3"/>
        <v>24</v>
      </c>
      <c r="K28" s="119">
        <f>if('Daily Time  Readings Log'!K31&gt;G28,('Daily Time  Readings Log'!K31-G28),0)</f>
        <v>0</v>
      </c>
      <c r="L28" s="119">
        <f>sum(G28-'Daily Time  Readings Log'!J31)</f>
        <v>0.7083333333</v>
      </c>
      <c r="M28" s="120">
        <f t="shared" si="4"/>
        <v>17</v>
      </c>
      <c r="N28" s="115">
        <f t="shared" si="5"/>
        <v>0</v>
      </c>
      <c r="O28" s="115">
        <f t="shared" si="6"/>
        <v>0</v>
      </c>
      <c r="P28" s="115">
        <f t="shared" si="7"/>
        <v>0</v>
      </c>
      <c r="Q28" s="115">
        <f t="shared" si="8"/>
        <v>0</v>
      </c>
      <c r="R28" s="115">
        <f t="shared" si="9"/>
        <v>0</v>
      </c>
      <c r="S28" s="118">
        <f t="shared" si="10"/>
        <v>0</v>
      </c>
      <c r="T28" s="118">
        <f t="shared" si="11"/>
        <v>0</v>
      </c>
      <c r="U28" s="119">
        <f>if('Daily Time  Readings Log'!J31&lt;F28,(F28-'Daily Time  Readings Log'!J31),0)</f>
        <v>0.3541666667</v>
      </c>
      <c r="V28" s="121">
        <f t="shared" si="12"/>
        <v>8.5</v>
      </c>
      <c r="W28" s="121">
        <f>if('Daily Time  Readings Log'!J31&lt;F28,(AE28),V28)</f>
        <v>24</v>
      </c>
      <c r="X28" s="121">
        <f t="shared" si="13"/>
        <v>8.5</v>
      </c>
      <c r="Y28" s="115">
        <f>IF(WEEKDAY('Daily Time  Readings Log'!A31,2)&gt;5,1,0)</f>
        <v>1</v>
      </c>
      <c r="Z28" s="118">
        <f t="shared" si="14"/>
        <v>8.5</v>
      </c>
      <c r="AA28" s="122">
        <f t="shared" si="15"/>
        <v>0</v>
      </c>
      <c r="AB28" s="122">
        <f t="shared" si="16"/>
        <v>24</v>
      </c>
      <c r="AC28" s="122">
        <f t="shared" si="17"/>
        <v>0</v>
      </c>
      <c r="AD28" s="122">
        <f t="shared" si="18"/>
        <v>24</v>
      </c>
      <c r="AE28" s="122">
        <f t="shared" si="19"/>
        <v>24</v>
      </c>
      <c r="AF28" s="122">
        <f t="shared" si="20"/>
        <v>24</v>
      </c>
      <c r="AG28" s="122">
        <f t="shared" si="21"/>
        <v>0</v>
      </c>
      <c r="AH28" s="122">
        <f t="shared" si="22"/>
        <v>24</v>
      </c>
      <c r="AI28" s="120">
        <f t="shared" ref="AI28:AJ28" si="51">sum(AG28+AM28)</f>
        <v>0</v>
      </c>
      <c r="AJ28" s="120">
        <f t="shared" si="51"/>
        <v>24</v>
      </c>
      <c r="AM28" s="120">
        <f t="shared" si="24"/>
        <v>0</v>
      </c>
      <c r="AN28" s="120">
        <f t="shared" si="25"/>
        <v>0</v>
      </c>
      <c r="AO28" s="120">
        <f t="shared" si="26"/>
        <v>2</v>
      </c>
      <c r="AP28" s="120">
        <f>if('Daily Time  Readings Log'!J31&lt;F28,1,0)</f>
        <v>1</v>
      </c>
      <c r="AQ28" s="120">
        <f>if('Daily Time  Readings Log'!J31&gt;G28,1,0)</f>
        <v>0</v>
      </c>
      <c r="AR28" s="120">
        <f>sum('Daily Time  Readings Log'!L31/60)</f>
        <v>0</v>
      </c>
      <c r="AS28" s="123">
        <v>55.39</v>
      </c>
      <c r="AT28" s="123">
        <v>83.1700000000002</v>
      </c>
      <c r="AU28" s="123">
        <f>sum('Daily Time  Readings Log'!N31*AS28)</f>
        <v>0</v>
      </c>
      <c r="AV28" s="123">
        <f>sum('Daily Time  Readings Log'!O31*AT28)</f>
        <v>0</v>
      </c>
      <c r="AW28" s="123">
        <f t="shared" si="27"/>
        <v>0</v>
      </c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</row>
    <row r="29">
      <c r="F29" s="116">
        <v>0.3541666666666667</v>
      </c>
      <c r="G29" s="116">
        <v>0.7083333333333334</v>
      </c>
      <c r="H29" s="117">
        <f>sum('Daily Time  Readings Log'!K32-'Daily Time  Readings Log'!J32)</f>
        <v>0</v>
      </c>
      <c r="I29" s="118">
        <f t="shared" si="2"/>
        <v>0</v>
      </c>
      <c r="J29" s="118">
        <f t="shared" si="3"/>
        <v>24</v>
      </c>
      <c r="K29" s="119">
        <f>if('Daily Time  Readings Log'!K32&gt;G29,('Daily Time  Readings Log'!K32-G29),0)</f>
        <v>0</v>
      </c>
      <c r="L29" s="119">
        <f>sum(G29-'Daily Time  Readings Log'!J32)</f>
        <v>0.7083333333</v>
      </c>
      <c r="M29" s="120">
        <f t="shared" si="4"/>
        <v>17</v>
      </c>
      <c r="N29" s="120">
        <f t="shared" si="5"/>
        <v>0</v>
      </c>
      <c r="O29" s="115">
        <f t="shared" si="6"/>
        <v>0</v>
      </c>
      <c r="P29" s="115">
        <f t="shared" si="7"/>
        <v>0</v>
      </c>
      <c r="Q29" s="115">
        <f t="shared" si="8"/>
        <v>0</v>
      </c>
      <c r="R29" s="115">
        <f t="shared" si="9"/>
        <v>0</v>
      </c>
      <c r="S29" s="118">
        <f t="shared" si="10"/>
        <v>0</v>
      </c>
      <c r="T29" s="118">
        <f t="shared" si="11"/>
        <v>0</v>
      </c>
      <c r="U29" s="119">
        <f>if('Daily Time  Readings Log'!J32&lt;F29,(F29-'Daily Time  Readings Log'!J32),0)</f>
        <v>0.3541666667</v>
      </c>
      <c r="V29" s="121">
        <f t="shared" si="12"/>
        <v>8.5</v>
      </c>
      <c r="W29" s="121">
        <f>if('Daily Time  Readings Log'!J32&lt;F29,(AE29),V29)</f>
        <v>24</v>
      </c>
      <c r="X29" s="121">
        <f t="shared" si="13"/>
        <v>8.5</v>
      </c>
      <c r="Y29" s="115">
        <f>IF(WEEKDAY('Daily Time  Readings Log'!A32,2)&gt;5,1,0)</f>
        <v>1</v>
      </c>
      <c r="Z29" s="118">
        <f t="shared" si="14"/>
        <v>8.5</v>
      </c>
      <c r="AA29" s="122">
        <f t="shared" si="15"/>
        <v>0</v>
      </c>
      <c r="AB29" s="122">
        <f t="shared" si="16"/>
        <v>24</v>
      </c>
      <c r="AC29" s="122">
        <f t="shared" si="17"/>
        <v>0</v>
      </c>
      <c r="AD29" s="122">
        <f t="shared" si="18"/>
        <v>24</v>
      </c>
      <c r="AE29" s="122">
        <f t="shared" si="19"/>
        <v>24</v>
      </c>
      <c r="AF29" s="122">
        <f t="shared" si="20"/>
        <v>24</v>
      </c>
      <c r="AG29" s="122">
        <f t="shared" si="21"/>
        <v>0</v>
      </c>
      <c r="AH29" s="122">
        <f t="shared" si="22"/>
        <v>24</v>
      </c>
      <c r="AI29" s="120">
        <f t="shared" ref="AI29:AJ29" si="52">sum(AG29+AM29)</f>
        <v>0</v>
      </c>
      <c r="AJ29" s="120">
        <f t="shared" si="52"/>
        <v>24</v>
      </c>
      <c r="AM29" s="120">
        <f t="shared" si="24"/>
        <v>0</v>
      </c>
      <c r="AN29" s="120">
        <f t="shared" si="25"/>
        <v>0</v>
      </c>
      <c r="AO29" s="120">
        <f t="shared" si="26"/>
        <v>2</v>
      </c>
      <c r="AP29" s="120">
        <f>if('Daily Time  Readings Log'!J32&lt;F29,1,0)</f>
        <v>1</v>
      </c>
      <c r="AQ29" s="120">
        <f>if('Daily Time  Readings Log'!J32&gt;G29,1,0)</f>
        <v>0</v>
      </c>
      <c r="AR29" s="120">
        <f>sum('Daily Time  Readings Log'!L32/60)</f>
        <v>0</v>
      </c>
      <c r="AS29" s="123">
        <v>55.39</v>
      </c>
      <c r="AT29" s="123">
        <v>83.1700000000002</v>
      </c>
      <c r="AU29" s="123">
        <f>sum('Daily Time  Readings Log'!N32*AS29)</f>
        <v>0</v>
      </c>
      <c r="AV29" s="123">
        <f>sum('Daily Time  Readings Log'!O32*AT29)</f>
        <v>0</v>
      </c>
      <c r="AW29" s="123">
        <f t="shared" si="27"/>
        <v>0</v>
      </c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</row>
    <row r="30">
      <c r="F30" s="116">
        <v>0.3541666666666667</v>
      </c>
      <c r="G30" s="116">
        <v>0.7083333333333334</v>
      </c>
      <c r="H30" s="117">
        <f>sum('Daily Time  Readings Log'!K33-'Daily Time  Readings Log'!J33)</f>
        <v>0</v>
      </c>
      <c r="I30" s="118">
        <f t="shared" si="2"/>
        <v>0</v>
      </c>
      <c r="J30" s="118">
        <f t="shared" si="3"/>
        <v>24</v>
      </c>
      <c r="K30" s="119">
        <f>if('Daily Time  Readings Log'!K33&gt;G30,('Daily Time  Readings Log'!K33-G30),0)</f>
        <v>0</v>
      </c>
      <c r="L30" s="119">
        <f>sum(G30-'Daily Time  Readings Log'!J33)</f>
        <v>0.7083333333</v>
      </c>
      <c r="M30" s="120">
        <f t="shared" si="4"/>
        <v>17</v>
      </c>
      <c r="N30" s="120">
        <f t="shared" si="5"/>
        <v>0</v>
      </c>
      <c r="O30" s="115">
        <f t="shared" si="6"/>
        <v>0</v>
      </c>
      <c r="P30" s="115">
        <f t="shared" si="7"/>
        <v>0</v>
      </c>
      <c r="Q30" s="122">
        <f t="shared" si="8"/>
        <v>0</v>
      </c>
      <c r="R30" s="122">
        <f t="shared" si="9"/>
        <v>0</v>
      </c>
      <c r="S30" s="118">
        <f t="shared" si="10"/>
        <v>0</v>
      </c>
      <c r="T30" s="118">
        <f t="shared" si="11"/>
        <v>0</v>
      </c>
      <c r="U30" s="119">
        <f>if('Daily Time  Readings Log'!J33&lt;F30,(F30-'Daily Time  Readings Log'!J33),0)</f>
        <v>0.3541666667</v>
      </c>
      <c r="V30" s="121">
        <f t="shared" si="12"/>
        <v>8.5</v>
      </c>
      <c r="W30" s="121">
        <f>if('Daily Time  Readings Log'!J33&lt;F30,(AE30),V30)</f>
        <v>24</v>
      </c>
      <c r="X30" s="121">
        <f t="shared" si="13"/>
        <v>8.5</v>
      </c>
      <c r="Y30" s="115">
        <f>IF(WEEKDAY('Daily Time  Readings Log'!A33,2)&gt;5,1,0)</f>
        <v>1</v>
      </c>
      <c r="Z30" s="118">
        <f t="shared" si="14"/>
        <v>8.5</v>
      </c>
      <c r="AA30" s="122">
        <f t="shared" si="15"/>
        <v>0</v>
      </c>
      <c r="AB30" s="118">
        <f t="shared" si="16"/>
        <v>24</v>
      </c>
      <c r="AC30" s="122">
        <f t="shared" si="17"/>
        <v>0</v>
      </c>
      <c r="AD30" s="118">
        <f t="shared" si="18"/>
        <v>24</v>
      </c>
      <c r="AE30" s="122">
        <f t="shared" si="19"/>
        <v>24</v>
      </c>
      <c r="AF30" s="122">
        <f t="shared" si="20"/>
        <v>24</v>
      </c>
      <c r="AG30" s="122">
        <f t="shared" si="21"/>
        <v>0</v>
      </c>
      <c r="AH30" s="122">
        <f t="shared" si="22"/>
        <v>24</v>
      </c>
      <c r="AI30" s="120">
        <f t="shared" ref="AI30:AJ30" si="53">sum(AG30+AM30)</f>
        <v>0</v>
      </c>
      <c r="AJ30" s="120">
        <f t="shared" si="53"/>
        <v>24</v>
      </c>
      <c r="AM30" s="120">
        <f t="shared" si="24"/>
        <v>0</v>
      </c>
      <c r="AN30" s="120">
        <f t="shared" si="25"/>
        <v>0</v>
      </c>
      <c r="AO30" s="120">
        <f t="shared" si="26"/>
        <v>2</v>
      </c>
      <c r="AP30" s="120">
        <f>if('Daily Time  Readings Log'!J33&lt;F30,1,0)</f>
        <v>1</v>
      </c>
      <c r="AQ30" s="120">
        <f>if('Daily Time  Readings Log'!J33&gt;G30,1,0)</f>
        <v>0</v>
      </c>
      <c r="AR30" s="120">
        <f>sum('Daily Time  Readings Log'!L33/60)</f>
        <v>0</v>
      </c>
      <c r="AS30" s="123">
        <v>55.39</v>
      </c>
      <c r="AT30" s="123">
        <v>83.1700000000002</v>
      </c>
      <c r="AU30" s="123">
        <f>sum('Daily Time  Readings Log'!N33*AS30)</f>
        <v>0</v>
      </c>
      <c r="AV30" s="123">
        <f>sum('Daily Time  Readings Log'!O33*AT30)</f>
        <v>0</v>
      </c>
      <c r="AW30" s="123">
        <f t="shared" si="27"/>
        <v>0</v>
      </c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</row>
    <row r="31">
      <c r="F31" s="116">
        <v>0.3541666666666667</v>
      </c>
      <c r="G31" s="116">
        <v>0.7083333333333334</v>
      </c>
      <c r="H31" s="117">
        <f>sum('Daily Time  Readings Log'!K34-'Daily Time  Readings Log'!J34)</f>
        <v>0</v>
      </c>
      <c r="I31" s="118">
        <f t="shared" si="2"/>
        <v>0</v>
      </c>
      <c r="J31" s="118">
        <f t="shared" si="3"/>
        <v>24</v>
      </c>
      <c r="K31" s="119">
        <f>if('Daily Time  Readings Log'!K34&gt;G31,('Daily Time  Readings Log'!K34-G31),0)</f>
        <v>0</v>
      </c>
      <c r="L31" s="119">
        <f>sum(G31-'Daily Time  Readings Log'!J34)</f>
        <v>0.7083333333</v>
      </c>
      <c r="M31" s="120">
        <f t="shared" si="4"/>
        <v>17</v>
      </c>
      <c r="N31" s="115">
        <f t="shared" si="5"/>
        <v>0</v>
      </c>
      <c r="O31" s="115">
        <f t="shared" si="6"/>
        <v>0</v>
      </c>
      <c r="P31" s="115">
        <f t="shared" si="7"/>
        <v>0</v>
      </c>
      <c r="Q31" s="115">
        <f t="shared" si="8"/>
        <v>0</v>
      </c>
      <c r="R31" s="115">
        <f t="shared" si="9"/>
        <v>0</v>
      </c>
      <c r="S31" s="118">
        <f t="shared" si="10"/>
        <v>0</v>
      </c>
      <c r="T31" s="118">
        <f t="shared" si="11"/>
        <v>0</v>
      </c>
      <c r="U31" s="119">
        <f>if('Daily Time  Readings Log'!J34&lt;F31,(F31-'Daily Time  Readings Log'!J34),0)</f>
        <v>0.3541666667</v>
      </c>
      <c r="V31" s="121">
        <f t="shared" si="12"/>
        <v>8.5</v>
      </c>
      <c r="W31" s="121">
        <f>if('Daily Time  Readings Log'!J34&lt;F31,(AE31),V31)</f>
        <v>24</v>
      </c>
      <c r="X31" s="121">
        <f t="shared" si="13"/>
        <v>8.5</v>
      </c>
      <c r="Y31" s="115">
        <f>IF(WEEKDAY('Daily Time  Readings Log'!A34,2)&gt;5,1,0)</f>
        <v>1</v>
      </c>
      <c r="Z31" s="118">
        <f t="shared" si="14"/>
        <v>8.5</v>
      </c>
      <c r="AA31" s="122">
        <f t="shared" si="15"/>
        <v>0</v>
      </c>
      <c r="AB31" s="118">
        <f t="shared" si="16"/>
        <v>24</v>
      </c>
      <c r="AC31" s="122">
        <f t="shared" si="17"/>
        <v>0</v>
      </c>
      <c r="AD31" s="118">
        <f t="shared" si="18"/>
        <v>24</v>
      </c>
      <c r="AE31" s="122">
        <f t="shared" si="19"/>
        <v>24</v>
      </c>
      <c r="AF31" s="122">
        <f t="shared" si="20"/>
        <v>24</v>
      </c>
      <c r="AG31" s="122">
        <f t="shared" si="21"/>
        <v>0</v>
      </c>
      <c r="AH31" s="122">
        <f t="shared" si="22"/>
        <v>24</v>
      </c>
      <c r="AI31" s="120">
        <f t="shared" ref="AI31:AJ31" si="54">sum(AG31+AM31)</f>
        <v>0</v>
      </c>
      <c r="AJ31" s="120">
        <f t="shared" si="54"/>
        <v>24</v>
      </c>
      <c r="AM31" s="120">
        <f t="shared" si="24"/>
        <v>0</v>
      </c>
      <c r="AN31" s="120">
        <f t="shared" si="25"/>
        <v>0</v>
      </c>
      <c r="AO31" s="120">
        <f t="shared" si="26"/>
        <v>2</v>
      </c>
      <c r="AP31" s="120">
        <f>if('Daily Time  Readings Log'!J34&lt;F31,1,0)</f>
        <v>1</v>
      </c>
      <c r="AQ31" s="120">
        <f>if('Daily Time  Readings Log'!J34&gt;G31,1,0)</f>
        <v>0</v>
      </c>
      <c r="AR31" s="120">
        <f>sum('Daily Time  Readings Log'!L34/60)</f>
        <v>0</v>
      </c>
      <c r="AS31" s="123">
        <v>55.39</v>
      </c>
      <c r="AT31" s="123">
        <v>83.1700000000002</v>
      </c>
      <c r="AU31" s="123">
        <f>sum('Daily Time  Readings Log'!N34*AS31)</f>
        <v>0</v>
      </c>
      <c r="AV31" s="123">
        <f>sum('Daily Time  Readings Log'!O34*AT31)</f>
        <v>0</v>
      </c>
      <c r="AW31" s="123">
        <f t="shared" si="27"/>
        <v>0</v>
      </c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</row>
    <row r="32">
      <c r="F32" s="116">
        <v>0.3541666666666667</v>
      </c>
      <c r="G32" s="116">
        <v>0.7083333333333334</v>
      </c>
      <c r="H32" s="117">
        <f>sum('Daily Time  Readings Log'!K35-'Daily Time  Readings Log'!J35)</f>
        <v>0</v>
      </c>
      <c r="I32" s="118">
        <f t="shared" si="2"/>
        <v>0</v>
      </c>
      <c r="J32" s="118">
        <f t="shared" si="3"/>
        <v>24</v>
      </c>
      <c r="K32" s="119">
        <f>if('Daily Time  Readings Log'!K35&gt;G32,('Daily Time  Readings Log'!K35-G32),0)</f>
        <v>0</v>
      </c>
      <c r="L32" s="119">
        <f>sum(G32-'Daily Time  Readings Log'!J35)</f>
        <v>0.7083333333</v>
      </c>
      <c r="M32" s="120">
        <f t="shared" si="4"/>
        <v>17</v>
      </c>
      <c r="N32" s="120">
        <f t="shared" si="5"/>
        <v>0</v>
      </c>
      <c r="O32" s="115">
        <f t="shared" si="6"/>
        <v>0</v>
      </c>
      <c r="P32" s="115">
        <f t="shared" si="7"/>
        <v>0</v>
      </c>
      <c r="Q32" s="115">
        <f t="shared" si="8"/>
        <v>0</v>
      </c>
      <c r="R32" s="115">
        <f t="shared" si="9"/>
        <v>0</v>
      </c>
      <c r="S32" s="118">
        <f t="shared" si="10"/>
        <v>0</v>
      </c>
      <c r="T32" s="118">
        <f t="shared" si="11"/>
        <v>0</v>
      </c>
      <c r="U32" s="119">
        <f>if('Daily Time  Readings Log'!J35&lt;F32,(F32-'Daily Time  Readings Log'!J35),0)</f>
        <v>0.3541666667</v>
      </c>
      <c r="V32" s="121">
        <f t="shared" si="12"/>
        <v>8.5</v>
      </c>
      <c r="W32" s="121">
        <f>if('Daily Time  Readings Log'!J35&lt;F32,(AE32),V32)</f>
        <v>24</v>
      </c>
      <c r="X32" s="121">
        <f t="shared" si="13"/>
        <v>8.5</v>
      </c>
      <c r="Y32" s="115">
        <f>IF(WEEKDAY('Daily Time  Readings Log'!A35,2)&gt;5,1,0)</f>
        <v>1</v>
      </c>
      <c r="Z32" s="118">
        <f t="shared" si="14"/>
        <v>8.5</v>
      </c>
      <c r="AA32" s="122">
        <f t="shared" si="15"/>
        <v>0</v>
      </c>
      <c r="AB32" s="118">
        <f t="shared" si="16"/>
        <v>24</v>
      </c>
      <c r="AC32" s="122">
        <f t="shared" si="17"/>
        <v>0</v>
      </c>
      <c r="AD32" s="118">
        <f t="shared" si="18"/>
        <v>24</v>
      </c>
      <c r="AE32" s="122">
        <f t="shared" si="19"/>
        <v>24</v>
      </c>
      <c r="AF32" s="122">
        <f t="shared" si="20"/>
        <v>24</v>
      </c>
      <c r="AG32" s="122">
        <f t="shared" si="21"/>
        <v>0</v>
      </c>
      <c r="AH32" s="122">
        <f t="shared" si="22"/>
        <v>24</v>
      </c>
      <c r="AI32" s="120">
        <f t="shared" ref="AI32:AJ32" si="55">sum(AG32+AM32)</f>
        <v>0</v>
      </c>
      <c r="AJ32" s="120">
        <f t="shared" si="55"/>
        <v>24</v>
      </c>
      <c r="AM32" s="120">
        <f t="shared" si="24"/>
        <v>0</v>
      </c>
      <c r="AN32" s="120">
        <f t="shared" si="25"/>
        <v>0</v>
      </c>
      <c r="AO32" s="120">
        <f t="shared" si="26"/>
        <v>2</v>
      </c>
      <c r="AP32" s="120">
        <f>if('Daily Time  Readings Log'!J35&lt;F32,1,0)</f>
        <v>1</v>
      </c>
      <c r="AQ32" s="120">
        <f>if('Daily Time  Readings Log'!J35&gt;G32,1,0)</f>
        <v>0</v>
      </c>
      <c r="AR32" s="120">
        <f>sum('Daily Time  Readings Log'!L35/60)</f>
        <v>0</v>
      </c>
      <c r="AS32" s="123">
        <v>55.39</v>
      </c>
      <c r="AT32" s="123">
        <v>83.1700000000003</v>
      </c>
      <c r="AU32" s="123">
        <f>sum('Daily Time  Readings Log'!N35*AS32)</f>
        <v>0</v>
      </c>
      <c r="AV32" s="123">
        <f>sum('Daily Time  Readings Log'!O35*AT32)</f>
        <v>0</v>
      </c>
      <c r="AW32" s="123">
        <f t="shared" si="27"/>
        <v>0</v>
      </c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</row>
    <row r="33">
      <c r="F33" s="116">
        <v>0.3541666666666667</v>
      </c>
      <c r="G33" s="116">
        <v>0.7083333333333334</v>
      </c>
      <c r="H33" s="117">
        <f>sum('Daily Time  Readings Log'!K36-'Daily Time  Readings Log'!J36)</f>
        <v>0</v>
      </c>
      <c r="I33" s="118">
        <f t="shared" si="2"/>
        <v>0</v>
      </c>
      <c r="J33" s="118">
        <f t="shared" si="3"/>
        <v>24</v>
      </c>
      <c r="K33" s="119">
        <f>if('Daily Time  Readings Log'!K36&gt;G33,('Daily Time  Readings Log'!K36-G33),0)</f>
        <v>0</v>
      </c>
      <c r="L33" s="119">
        <f>sum(G33-'Daily Time  Readings Log'!J36)</f>
        <v>0.7083333333</v>
      </c>
      <c r="M33" s="120">
        <f t="shared" si="4"/>
        <v>17</v>
      </c>
      <c r="N33" s="115">
        <f t="shared" si="5"/>
        <v>0</v>
      </c>
      <c r="O33" s="115">
        <f t="shared" si="6"/>
        <v>0</v>
      </c>
      <c r="P33" s="115">
        <f t="shared" si="7"/>
        <v>0</v>
      </c>
      <c r="Q33" s="115">
        <f t="shared" si="8"/>
        <v>0</v>
      </c>
      <c r="R33" s="115">
        <f t="shared" si="9"/>
        <v>0</v>
      </c>
      <c r="S33" s="118">
        <f t="shared" si="10"/>
        <v>0</v>
      </c>
      <c r="T33" s="118">
        <f t="shared" si="11"/>
        <v>0</v>
      </c>
      <c r="U33" s="119">
        <f>if('Daily Time  Readings Log'!J36&lt;F33,(F33-'Daily Time  Readings Log'!J36),0)</f>
        <v>0.3541666667</v>
      </c>
      <c r="V33" s="121">
        <f t="shared" si="12"/>
        <v>8.5</v>
      </c>
      <c r="W33" s="121">
        <f>if('Daily Time  Readings Log'!J36&lt;F33,(AE33),V33)</f>
        <v>24</v>
      </c>
      <c r="X33" s="121">
        <f t="shared" si="13"/>
        <v>8.5</v>
      </c>
      <c r="Y33" s="115">
        <f>IF(WEEKDAY('Daily Time  Readings Log'!A36,2)&gt;5,1,0)</f>
        <v>1</v>
      </c>
      <c r="Z33" s="118">
        <f t="shared" si="14"/>
        <v>8.5</v>
      </c>
      <c r="AA33" s="122">
        <f t="shared" si="15"/>
        <v>0</v>
      </c>
      <c r="AB33" s="118">
        <f t="shared" si="16"/>
        <v>24</v>
      </c>
      <c r="AC33" s="122">
        <f t="shared" si="17"/>
        <v>0</v>
      </c>
      <c r="AD33" s="122">
        <f t="shared" si="18"/>
        <v>24</v>
      </c>
      <c r="AE33" s="122">
        <f t="shared" si="19"/>
        <v>24</v>
      </c>
      <c r="AF33" s="122">
        <f t="shared" si="20"/>
        <v>24</v>
      </c>
      <c r="AG33" s="122">
        <f t="shared" si="21"/>
        <v>0</v>
      </c>
      <c r="AH33" s="122">
        <f t="shared" si="22"/>
        <v>24</v>
      </c>
      <c r="AI33" s="120">
        <f t="shared" ref="AI33:AJ33" si="56">sum(AG33+AM33)</f>
        <v>0</v>
      </c>
      <c r="AJ33" s="120">
        <f t="shared" si="56"/>
        <v>24</v>
      </c>
      <c r="AM33" s="120">
        <f t="shared" si="24"/>
        <v>0</v>
      </c>
      <c r="AN33" s="120">
        <f t="shared" si="25"/>
        <v>0</v>
      </c>
      <c r="AO33" s="120">
        <f t="shared" si="26"/>
        <v>2</v>
      </c>
      <c r="AP33" s="120">
        <f>if('Daily Time  Readings Log'!J36&lt;F33,1,0)</f>
        <v>1</v>
      </c>
      <c r="AQ33" s="120">
        <f>if('Daily Time  Readings Log'!J36&gt;G33,1,0)</f>
        <v>0</v>
      </c>
      <c r="AR33" s="120">
        <f>sum('Daily Time  Readings Log'!L36/60)</f>
        <v>0</v>
      </c>
      <c r="AS33" s="123">
        <v>55.39</v>
      </c>
      <c r="AT33" s="123">
        <v>83.1700000000003</v>
      </c>
      <c r="AU33" s="123">
        <f>sum('Daily Time  Readings Log'!N36*AS33)</f>
        <v>0</v>
      </c>
      <c r="AV33" s="123">
        <f>sum('Daily Time  Readings Log'!O36*AT33)</f>
        <v>0</v>
      </c>
      <c r="AW33" s="123">
        <f t="shared" si="27"/>
        <v>0</v>
      </c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</row>
    <row r="34">
      <c r="F34" s="116">
        <v>0.3541666666666667</v>
      </c>
      <c r="G34" s="116">
        <v>0.7083333333333334</v>
      </c>
      <c r="H34" s="117">
        <f>sum('Daily Time  Readings Log'!K37-'Daily Time  Readings Log'!J37)</f>
        <v>0</v>
      </c>
      <c r="I34" s="118">
        <f t="shared" si="2"/>
        <v>0</v>
      </c>
      <c r="J34" s="118">
        <f t="shared" si="3"/>
        <v>24</v>
      </c>
      <c r="K34" s="119">
        <f>if('Daily Time  Readings Log'!K37&gt;G34,('Daily Time  Readings Log'!K37-G34),0)</f>
        <v>0</v>
      </c>
      <c r="L34" s="119">
        <f>sum(G34-'Daily Time  Readings Log'!J37)</f>
        <v>0.7083333333</v>
      </c>
      <c r="M34" s="120">
        <f t="shared" si="4"/>
        <v>17</v>
      </c>
      <c r="N34" s="115">
        <f t="shared" si="5"/>
        <v>0</v>
      </c>
      <c r="O34" s="115">
        <f t="shared" si="6"/>
        <v>0</v>
      </c>
      <c r="P34" s="115">
        <f t="shared" si="7"/>
        <v>0</v>
      </c>
      <c r="Q34" s="115">
        <f t="shared" si="8"/>
        <v>0</v>
      </c>
      <c r="R34" s="115">
        <f t="shared" si="9"/>
        <v>0</v>
      </c>
      <c r="S34" s="118">
        <f t="shared" si="10"/>
        <v>0</v>
      </c>
      <c r="T34" s="118">
        <f t="shared" si="11"/>
        <v>0</v>
      </c>
      <c r="U34" s="119">
        <f>if('Daily Time  Readings Log'!J37&lt;F34,(F34-'Daily Time  Readings Log'!J37),0)</f>
        <v>0.3541666667</v>
      </c>
      <c r="V34" s="121">
        <f t="shared" si="12"/>
        <v>8.5</v>
      </c>
      <c r="W34" s="121">
        <f>if('Daily Time  Readings Log'!J37&lt;F34,(AE34),V34)</f>
        <v>24</v>
      </c>
      <c r="X34" s="121">
        <f t="shared" si="13"/>
        <v>8.5</v>
      </c>
      <c r="Y34" s="115">
        <f>IF(WEEKDAY('Daily Time  Readings Log'!A37,2)&gt;5,1,0)</f>
        <v>1</v>
      </c>
      <c r="Z34" s="118">
        <f t="shared" si="14"/>
        <v>8.5</v>
      </c>
      <c r="AA34" s="122">
        <f t="shared" si="15"/>
        <v>0</v>
      </c>
      <c r="AB34" s="118">
        <f t="shared" si="16"/>
        <v>24</v>
      </c>
      <c r="AC34" s="122">
        <f t="shared" si="17"/>
        <v>0</v>
      </c>
      <c r="AD34" s="118">
        <f t="shared" si="18"/>
        <v>24</v>
      </c>
      <c r="AE34" s="122">
        <f t="shared" si="19"/>
        <v>24</v>
      </c>
      <c r="AF34" s="122">
        <f t="shared" si="20"/>
        <v>24</v>
      </c>
      <c r="AG34" s="122">
        <f t="shared" si="21"/>
        <v>0</v>
      </c>
      <c r="AH34" s="122">
        <f t="shared" si="22"/>
        <v>24</v>
      </c>
      <c r="AI34" s="120">
        <f t="shared" ref="AI34:AJ34" si="57">sum(AG34+AM34)</f>
        <v>0</v>
      </c>
      <c r="AJ34" s="120">
        <f t="shared" si="57"/>
        <v>24</v>
      </c>
      <c r="AM34" s="120">
        <f t="shared" si="24"/>
        <v>0</v>
      </c>
      <c r="AN34" s="120">
        <f t="shared" si="25"/>
        <v>0</v>
      </c>
      <c r="AO34" s="120">
        <f t="shared" si="26"/>
        <v>2</v>
      </c>
      <c r="AP34" s="120">
        <f>if('Daily Time  Readings Log'!J37&lt;F34,1,0)</f>
        <v>1</v>
      </c>
      <c r="AQ34" s="120">
        <f>if('Daily Time  Readings Log'!J37&gt;G34,1,0)</f>
        <v>0</v>
      </c>
      <c r="AR34" s="120">
        <f>sum('Daily Time  Readings Log'!L37/60)</f>
        <v>0</v>
      </c>
      <c r="AS34" s="123">
        <v>55.39</v>
      </c>
      <c r="AT34" s="123">
        <v>83.1700000000003</v>
      </c>
      <c r="AU34" s="123">
        <f>sum('Daily Time  Readings Log'!N37*AS34)</f>
        <v>0</v>
      </c>
      <c r="AV34" s="123">
        <f>sum('Daily Time  Readings Log'!O37*AT34)</f>
        <v>0</v>
      </c>
      <c r="AW34" s="123">
        <f t="shared" si="27"/>
        <v>0</v>
      </c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</row>
    <row r="35">
      <c r="F35" s="116">
        <v>0.3541666666666667</v>
      </c>
      <c r="G35" s="116">
        <v>0.7083333333333334</v>
      </c>
      <c r="H35" s="117">
        <f>sum('Daily Time  Readings Log'!K38-'Daily Time  Readings Log'!J38)</f>
        <v>0</v>
      </c>
      <c r="I35" s="118">
        <f t="shared" si="2"/>
        <v>0</v>
      </c>
      <c r="J35" s="118">
        <f t="shared" si="3"/>
        <v>24</v>
      </c>
      <c r="K35" s="119">
        <f>if('Daily Time  Readings Log'!K38&gt;G35,('Daily Time  Readings Log'!K38-G35),0)</f>
        <v>0</v>
      </c>
      <c r="L35" s="119">
        <f>sum(G35-'Daily Time  Readings Log'!J38)</f>
        <v>0.7083333333</v>
      </c>
      <c r="M35" s="120">
        <f t="shared" si="4"/>
        <v>17</v>
      </c>
      <c r="N35" s="120">
        <f t="shared" si="5"/>
        <v>0</v>
      </c>
      <c r="O35" s="115">
        <f t="shared" si="6"/>
        <v>0</v>
      </c>
      <c r="P35" s="115">
        <f t="shared" si="7"/>
        <v>0</v>
      </c>
      <c r="Q35" s="122">
        <f t="shared" si="8"/>
        <v>0</v>
      </c>
      <c r="R35" s="122">
        <f t="shared" si="9"/>
        <v>0</v>
      </c>
      <c r="S35" s="118">
        <f t="shared" si="10"/>
        <v>0</v>
      </c>
      <c r="T35" s="118">
        <f t="shared" si="11"/>
        <v>0</v>
      </c>
      <c r="U35" s="119">
        <f>if('Daily Time  Readings Log'!J38&lt;F35,(F35-'Daily Time  Readings Log'!J38),0)</f>
        <v>0.3541666667</v>
      </c>
      <c r="V35" s="121">
        <f t="shared" si="12"/>
        <v>8.5</v>
      </c>
      <c r="W35" s="121">
        <f>if('Daily Time  Readings Log'!J38&lt;F35,(AE35),V35)</f>
        <v>24</v>
      </c>
      <c r="X35" s="121">
        <f t="shared" si="13"/>
        <v>8.5</v>
      </c>
      <c r="Y35" s="115">
        <f>IF(WEEKDAY('Daily Time  Readings Log'!A38,2)&gt;5,1,0)</f>
        <v>1</v>
      </c>
      <c r="Z35" s="118">
        <f t="shared" si="14"/>
        <v>8.5</v>
      </c>
      <c r="AA35" s="122">
        <f t="shared" si="15"/>
        <v>0</v>
      </c>
      <c r="AB35" s="118">
        <f t="shared" si="16"/>
        <v>24</v>
      </c>
      <c r="AC35" s="122">
        <f t="shared" si="17"/>
        <v>0</v>
      </c>
      <c r="AD35" s="118">
        <f t="shared" si="18"/>
        <v>24</v>
      </c>
      <c r="AE35" s="122">
        <f t="shared" si="19"/>
        <v>24</v>
      </c>
      <c r="AF35" s="122">
        <f t="shared" si="20"/>
        <v>24</v>
      </c>
      <c r="AG35" s="122">
        <f t="shared" si="21"/>
        <v>0</v>
      </c>
      <c r="AH35" s="122">
        <f t="shared" si="22"/>
        <v>24</v>
      </c>
      <c r="AI35" s="120">
        <f t="shared" ref="AI35:AJ35" si="58">sum(AG35+AM35)</f>
        <v>0</v>
      </c>
      <c r="AJ35" s="120">
        <f t="shared" si="58"/>
        <v>24</v>
      </c>
      <c r="AM35" s="120">
        <f t="shared" si="24"/>
        <v>0</v>
      </c>
      <c r="AN35" s="120">
        <f t="shared" si="25"/>
        <v>0</v>
      </c>
      <c r="AO35" s="120">
        <f t="shared" si="26"/>
        <v>2</v>
      </c>
      <c r="AP35" s="120">
        <f>if('Daily Time  Readings Log'!J38&lt;F35,1,0)</f>
        <v>1</v>
      </c>
      <c r="AQ35" s="120">
        <f>if('Daily Time  Readings Log'!J38&gt;G35,1,0)</f>
        <v>0</v>
      </c>
      <c r="AR35" s="120">
        <f>sum('Daily Time  Readings Log'!L38/60)</f>
        <v>0</v>
      </c>
      <c r="AS35" s="123">
        <v>55.39</v>
      </c>
      <c r="AT35" s="123">
        <v>83.1700000000003</v>
      </c>
      <c r="AU35" s="123">
        <f>sum('Daily Time  Readings Log'!N38*AS35)</f>
        <v>0</v>
      </c>
      <c r="AV35" s="123">
        <f>sum('Daily Time  Readings Log'!O38*AT35)</f>
        <v>0</v>
      </c>
      <c r="AW35" s="123">
        <f t="shared" si="27"/>
        <v>0</v>
      </c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</row>
    <row r="36">
      <c r="F36" s="116">
        <v>0.3541666666666667</v>
      </c>
      <c r="G36" s="116">
        <v>0.7083333333333334</v>
      </c>
      <c r="H36" s="117">
        <f>sum('Daily Time  Readings Log'!K39-'Daily Time  Readings Log'!J39)</f>
        <v>0</v>
      </c>
      <c r="I36" s="118">
        <f t="shared" si="2"/>
        <v>0</v>
      </c>
      <c r="J36" s="118">
        <f t="shared" si="3"/>
        <v>24</v>
      </c>
      <c r="K36" s="119">
        <f>if('Daily Time  Readings Log'!K39&gt;G36,('Daily Time  Readings Log'!K39-G36),0)</f>
        <v>0</v>
      </c>
      <c r="L36" s="119">
        <f>sum(G36-'Daily Time  Readings Log'!J39)</f>
        <v>0.7083333333</v>
      </c>
      <c r="M36" s="120">
        <f t="shared" si="4"/>
        <v>17</v>
      </c>
      <c r="N36" s="115">
        <f t="shared" si="5"/>
        <v>0</v>
      </c>
      <c r="O36" s="115">
        <f t="shared" si="6"/>
        <v>0</v>
      </c>
      <c r="P36" s="115">
        <f t="shared" si="7"/>
        <v>0</v>
      </c>
      <c r="Q36" s="115">
        <f t="shared" si="8"/>
        <v>0</v>
      </c>
      <c r="R36" s="115">
        <f t="shared" si="9"/>
        <v>0</v>
      </c>
      <c r="S36" s="118">
        <f t="shared" si="10"/>
        <v>0</v>
      </c>
      <c r="T36" s="118">
        <f t="shared" si="11"/>
        <v>0</v>
      </c>
      <c r="U36" s="119">
        <f>if('Daily Time  Readings Log'!J39&lt;F36,(F36-'Daily Time  Readings Log'!J39),0)</f>
        <v>0.3541666667</v>
      </c>
      <c r="V36" s="121">
        <f t="shared" si="12"/>
        <v>8.5</v>
      </c>
      <c r="W36" s="121">
        <f>if('Daily Time  Readings Log'!J39&lt;F36,(AE36),V36)</f>
        <v>24</v>
      </c>
      <c r="X36" s="121">
        <f t="shared" si="13"/>
        <v>8.5</v>
      </c>
      <c r="Y36" s="115">
        <f>IF(WEEKDAY('Daily Time  Readings Log'!A39,2)&gt;5,1,0)</f>
        <v>1</v>
      </c>
      <c r="Z36" s="118">
        <f t="shared" si="14"/>
        <v>8.5</v>
      </c>
      <c r="AA36" s="122">
        <f t="shared" si="15"/>
        <v>0</v>
      </c>
      <c r="AB36" s="118">
        <f t="shared" si="16"/>
        <v>24</v>
      </c>
      <c r="AC36" s="122">
        <f t="shared" si="17"/>
        <v>0</v>
      </c>
      <c r="AD36" s="118">
        <f t="shared" si="18"/>
        <v>24</v>
      </c>
      <c r="AE36" s="122">
        <f t="shared" si="19"/>
        <v>24</v>
      </c>
      <c r="AF36" s="122">
        <f t="shared" si="20"/>
        <v>24</v>
      </c>
      <c r="AG36" s="122">
        <f t="shared" si="21"/>
        <v>0</v>
      </c>
      <c r="AH36" s="122">
        <f t="shared" si="22"/>
        <v>24</v>
      </c>
      <c r="AI36" s="120">
        <f t="shared" ref="AI36:AJ36" si="59">sum(AG36+AM36)</f>
        <v>0</v>
      </c>
      <c r="AJ36" s="120">
        <f t="shared" si="59"/>
        <v>24</v>
      </c>
      <c r="AM36" s="120">
        <f t="shared" si="24"/>
        <v>0</v>
      </c>
      <c r="AN36" s="120">
        <f t="shared" si="25"/>
        <v>0</v>
      </c>
      <c r="AO36" s="120">
        <f t="shared" si="26"/>
        <v>2</v>
      </c>
      <c r="AP36" s="120">
        <f>if('Daily Time  Readings Log'!J39&lt;F36,1,0)</f>
        <v>1</v>
      </c>
      <c r="AQ36" s="120">
        <f>if('Daily Time  Readings Log'!J39&gt;G36,1,0)</f>
        <v>0</v>
      </c>
      <c r="AR36" s="120">
        <f>sum('Daily Time  Readings Log'!L39/60)</f>
        <v>0</v>
      </c>
      <c r="AS36" s="123">
        <v>55.39</v>
      </c>
      <c r="AT36" s="123">
        <v>83.1700000000003</v>
      </c>
      <c r="AU36" s="123">
        <f>sum('Daily Time  Readings Log'!N39*AS36)</f>
        <v>0</v>
      </c>
      <c r="AV36" s="123">
        <f>sum('Daily Time  Readings Log'!O39*AT36)</f>
        <v>0</v>
      </c>
      <c r="AW36" s="123">
        <f t="shared" si="27"/>
        <v>0</v>
      </c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</row>
    <row r="37">
      <c r="F37" s="116">
        <v>0.3541666666666667</v>
      </c>
      <c r="G37" s="116">
        <v>0.7083333333333334</v>
      </c>
      <c r="H37" s="117">
        <f>sum('Daily Time  Readings Log'!K40-'Daily Time  Readings Log'!J40)</f>
        <v>0</v>
      </c>
      <c r="I37" s="118">
        <f t="shared" si="2"/>
        <v>0</v>
      </c>
      <c r="J37" s="118">
        <f t="shared" si="3"/>
        <v>24</v>
      </c>
      <c r="K37" s="119">
        <f>if('Daily Time  Readings Log'!K40&gt;G37,('Daily Time  Readings Log'!K40-G37),0)</f>
        <v>0</v>
      </c>
      <c r="L37" s="119">
        <f>sum(G37-'Daily Time  Readings Log'!J40)</f>
        <v>0.7083333333</v>
      </c>
      <c r="M37" s="120">
        <f t="shared" si="4"/>
        <v>17</v>
      </c>
      <c r="N37" s="120">
        <f t="shared" si="5"/>
        <v>0</v>
      </c>
      <c r="O37" s="115">
        <f t="shared" si="6"/>
        <v>0</v>
      </c>
      <c r="P37" s="115">
        <f t="shared" si="7"/>
        <v>0</v>
      </c>
      <c r="Q37" s="122">
        <f t="shared" si="8"/>
        <v>0</v>
      </c>
      <c r="R37" s="122">
        <f t="shared" si="9"/>
        <v>0</v>
      </c>
      <c r="S37" s="118">
        <f t="shared" si="10"/>
        <v>0</v>
      </c>
      <c r="T37" s="118">
        <f t="shared" si="11"/>
        <v>0</v>
      </c>
      <c r="U37" s="119">
        <f>if('Daily Time  Readings Log'!J40&lt;F37,(F37-'Daily Time  Readings Log'!J40),0)</f>
        <v>0.3541666667</v>
      </c>
      <c r="V37" s="121">
        <f t="shared" si="12"/>
        <v>8.5</v>
      </c>
      <c r="W37" s="121">
        <f>if('Daily Time  Readings Log'!J40&lt;F37,(AE37),V37)</f>
        <v>24</v>
      </c>
      <c r="X37" s="121">
        <f t="shared" si="13"/>
        <v>8.5</v>
      </c>
      <c r="Y37" s="115">
        <f>IF(WEEKDAY('Daily Time  Readings Log'!A40,2)&gt;5,1,0)</f>
        <v>1</v>
      </c>
      <c r="Z37" s="118">
        <f t="shared" si="14"/>
        <v>8.5</v>
      </c>
      <c r="AA37" s="122">
        <f t="shared" si="15"/>
        <v>0</v>
      </c>
      <c r="AB37" s="118">
        <f t="shared" si="16"/>
        <v>24</v>
      </c>
      <c r="AC37" s="122">
        <f t="shared" si="17"/>
        <v>0</v>
      </c>
      <c r="AD37" s="118">
        <f t="shared" si="18"/>
        <v>24</v>
      </c>
      <c r="AE37" s="122">
        <f t="shared" si="19"/>
        <v>24</v>
      </c>
      <c r="AF37" s="122">
        <f t="shared" si="20"/>
        <v>24</v>
      </c>
      <c r="AG37" s="122">
        <f t="shared" si="21"/>
        <v>0</v>
      </c>
      <c r="AH37" s="122">
        <f t="shared" si="22"/>
        <v>24</v>
      </c>
      <c r="AI37" s="120">
        <f t="shared" ref="AI37:AJ37" si="60">sum(AG37+AM37)</f>
        <v>0</v>
      </c>
      <c r="AJ37" s="120">
        <f t="shared" si="60"/>
        <v>24</v>
      </c>
      <c r="AM37" s="120">
        <f t="shared" si="24"/>
        <v>0</v>
      </c>
      <c r="AN37" s="120">
        <f t="shared" si="25"/>
        <v>0</v>
      </c>
      <c r="AO37" s="120">
        <f t="shared" si="26"/>
        <v>2</v>
      </c>
      <c r="AP37" s="120">
        <f>if('Daily Time  Readings Log'!J40&lt;F37,1,0)</f>
        <v>1</v>
      </c>
      <c r="AQ37" s="120">
        <f>if('Daily Time  Readings Log'!J40&gt;G37,1,0)</f>
        <v>0</v>
      </c>
      <c r="AR37" s="120">
        <f>sum('Daily Time  Readings Log'!L40/60)</f>
        <v>0</v>
      </c>
      <c r="AS37" s="123">
        <v>55.39</v>
      </c>
      <c r="AT37" s="123">
        <v>83.1700000000003</v>
      </c>
      <c r="AU37" s="123">
        <f>sum('Daily Time  Readings Log'!N40*AS37)</f>
        <v>0</v>
      </c>
      <c r="AV37" s="123">
        <f>sum('Daily Time  Readings Log'!O40*AT37)</f>
        <v>0</v>
      </c>
      <c r="AW37" s="123">
        <f t="shared" si="27"/>
        <v>0</v>
      </c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2.14"/>
  </cols>
  <sheetData>
    <row r="1">
      <c r="E1" s="57" t="s">
        <v>152</v>
      </c>
      <c r="F1" s="57" t="s">
        <v>153</v>
      </c>
      <c r="G1" s="57" t="s">
        <v>154</v>
      </c>
    </row>
    <row r="2">
      <c r="E2" s="23" t="s">
        <v>155</v>
      </c>
      <c r="F2" s="23" t="s">
        <v>156</v>
      </c>
      <c r="G2" t="str">
        <f t="shared" ref="G2:G3" si="1">E2</f>
        <v>Current room</v>
      </c>
    </row>
    <row r="3">
      <c r="A3" s="23" t="s">
        <v>157</v>
      </c>
      <c r="B3" t="str">
        <f>sum(#REF!)</f>
        <v>#REF!</v>
      </c>
      <c r="C3" s="124" t="str">
        <f>if(B3=1,"100",If(B3=2,"50",If(B3=3,"40",if(B3=4,"40","0"))))</f>
        <v>#REF!</v>
      </c>
      <c r="E3" s="23" t="s">
        <v>158</v>
      </c>
      <c r="F3" s="23" t="s">
        <v>159</v>
      </c>
      <c r="G3" t="str">
        <f t="shared" si="1"/>
        <v>No dehu needed</v>
      </c>
    </row>
    <row r="4">
      <c r="E4" s="23" t="s">
        <v>3</v>
      </c>
      <c r="F4" s="23" t="s">
        <v>0</v>
      </c>
      <c r="G4" t="str">
        <f t="shared" ref="G4:G200" si="2">IF(ISERROR(INDIRECT(E4&amp;"!A1")), "", E4)</f>
        <v/>
      </c>
    </row>
    <row r="5">
      <c r="A5" s="23" t="s">
        <v>160</v>
      </c>
      <c r="C5" s="23" t="s">
        <v>161</v>
      </c>
      <c r="E5" s="23"/>
      <c r="G5" t="str">
        <f t="shared" si="2"/>
        <v/>
      </c>
    </row>
    <row r="6">
      <c r="E6" s="23"/>
      <c r="G6" t="str">
        <f t="shared" si="2"/>
        <v/>
      </c>
    </row>
    <row r="7">
      <c r="B7" s="125" t="str">
        <f>IFERROR(__xludf.DUMMYFUNCTION("IF(TODAY()=TODAY(), REGEXREPLACE(CELL(""address"",Template!A3),""'?([^']+)'?!.*"",""$1""), """")"),"Template")</f>
        <v>Template</v>
      </c>
      <c r="C7">
        <f>sum(Template!P9)</f>
        <v>0</v>
      </c>
      <c r="E7" s="23"/>
      <c r="G7" t="str">
        <f t="shared" si="2"/>
        <v/>
      </c>
    </row>
    <row r="8">
      <c r="A8" s="126"/>
      <c r="B8" s="125" t="str">
        <f>IFERROR(__xludf.DUMMYFUNCTION("IF(TODAY()=TODAY(), REGEXREPLACE(CELL(""address"",ZZ!A2),""'?([^']+)'?!.*"",""$1""), """")"),"#REF!")</f>
        <v>#REF!</v>
      </c>
      <c r="C8" s="23" t="str">
        <f>sum(ZZ!O9)</f>
        <v>#REF!</v>
      </c>
      <c r="E8" s="23"/>
      <c r="G8" t="str">
        <f t="shared" si="2"/>
        <v/>
      </c>
    </row>
    <row r="9">
      <c r="A9" s="127"/>
      <c r="B9" s="125" t="str">
        <f>IFERROR(__xludf.DUMMYFUNCTION("IF(TODAY()=TODAY(), REGEXREPLACE(CELL(""address"",ZZZ!A3),""'?([^']+)'?!.*"",""$1""), """")"),"#REF!")</f>
        <v>#REF!</v>
      </c>
      <c r="C9" s="23" t="str">
        <f>sum(ZZZ!O9)</f>
        <v>#REF!</v>
      </c>
      <c r="E9" s="23"/>
      <c r="G9" t="str">
        <f t="shared" si="2"/>
        <v/>
      </c>
    </row>
    <row r="10">
      <c r="A10" s="127"/>
      <c r="B10" s="125" t="str">
        <f>IFERROR(__xludf.DUMMYFUNCTION("IF(TODAY()=TODAY(), REGEXREPLACE(CELL(""address"",ZZZZ!A4),""'?([^']+)'?!.*"",""$1""), """")"),"#REF!")</f>
        <v>#REF!</v>
      </c>
      <c r="C10" s="23" t="str">
        <f>sum(ZZZZZ!O9)</f>
        <v>#REF!</v>
      </c>
      <c r="E10" s="23"/>
      <c r="G10" t="str">
        <f t="shared" si="2"/>
        <v/>
      </c>
    </row>
    <row r="11">
      <c r="A11" s="127"/>
      <c r="B11" s="125" t="str">
        <f>IFERROR(__xludf.DUMMYFUNCTION("IF(TODAY()=TODAY(), REGEXREPLACE(CELL(""address"",ZZZZZ!A5),""'?([^']+)'?!.*"",""$1""), """")"),"#REF!")</f>
        <v>#REF!</v>
      </c>
      <c r="C11" s="23" t="str">
        <f>sum(ZZZZZ!O9)</f>
        <v>#REF!</v>
      </c>
      <c r="E11" s="23"/>
      <c r="G11" t="str">
        <f t="shared" si="2"/>
        <v/>
      </c>
    </row>
    <row r="12">
      <c r="A12" s="127"/>
      <c r="B12" s="125" t="str">
        <f>IFERROR(__xludf.DUMMYFUNCTION("IF(TODAY()=TODAY(), REGEXREPLACE(CELL(""address"",ZZZZZZ!A6),""'?([^']+)'?!.*"",""$1""), """")"),"#REF!")</f>
        <v>#REF!</v>
      </c>
      <c r="C12" s="23" t="str">
        <f>sum(ZZZZZZ!O9)</f>
        <v>#REF!</v>
      </c>
      <c r="E12" s="23"/>
      <c r="G12" t="str">
        <f t="shared" si="2"/>
        <v/>
      </c>
    </row>
    <row r="13">
      <c r="A13" s="127"/>
      <c r="B13" s="125" t="str">
        <f>IFERROR(__xludf.DUMMYFUNCTION("IF(TODAY()=TODAY(), REGEXREPLACE(CELL(""address"",ZZZZZZZ!A7),""'?([^']+)'?!.*"",""$1""), """")"),"#REF!")</f>
        <v>#REF!</v>
      </c>
      <c r="C13" s="23" t="str">
        <f>sum(ZZZZZZZ!O9)</f>
        <v>#REF!</v>
      </c>
      <c r="E13" s="23"/>
      <c r="G13" t="str">
        <f t="shared" si="2"/>
        <v/>
      </c>
    </row>
    <row r="14">
      <c r="A14" s="127"/>
      <c r="B14" s="125" t="str">
        <f>IFERROR(__xludf.DUMMYFUNCTION("IF(TODAY()=TODAY(), REGEXREPLACE(CELL(""address"",ZZZZZZZZ!A8),""'?([^']+)'?!.*"",""$1""), """")"),"#REF!")</f>
        <v>#REF!</v>
      </c>
      <c r="C14" s="23" t="str">
        <f>sum(ZZZZZZZZZ!O9)</f>
        <v>#REF!</v>
      </c>
      <c r="G14" t="str">
        <f t="shared" si="2"/>
        <v/>
      </c>
    </row>
    <row r="15">
      <c r="A15" s="127"/>
      <c r="B15" s="125" t="str">
        <f>IFERROR(__xludf.DUMMYFUNCTION("IF(TODAY()=TODAY(), REGEXREPLACE(CELL(""address"",ZZZZZZZZZ!A9),""'?([^']+)'?!.*"",""$1""), """")"),"#REF!")</f>
        <v>#REF!</v>
      </c>
      <c r="C15" s="23" t="str">
        <f>sum(ZZZZZZZZZZ!O9)</f>
        <v>#REF!</v>
      </c>
      <c r="G15" t="str">
        <f t="shared" si="2"/>
        <v/>
      </c>
    </row>
    <row r="16">
      <c r="A16" s="127"/>
      <c r="B16" s="125" t="str">
        <f>IFERROR(__xludf.DUMMYFUNCTION("IF(TODAY()=TODAY(), REGEXREPLACE(CELL(""address"",ZZZZZZZZZZ!A10),""'?([^']+)'?!.*"",""$1""), """")"),"#REF!")</f>
        <v>#REF!</v>
      </c>
      <c r="C16" s="23" t="str">
        <f>sum(ZZZZZZZZZZZ!O9)</f>
        <v>#REF!</v>
      </c>
      <c r="G16" t="str">
        <f t="shared" si="2"/>
        <v/>
      </c>
    </row>
    <row r="17">
      <c r="A17" s="128"/>
      <c r="B17" s="23" t="s">
        <v>47</v>
      </c>
      <c r="C17" s="23">
        <v>0.0</v>
      </c>
      <c r="G17" t="str">
        <f t="shared" si="2"/>
        <v/>
      </c>
    </row>
    <row r="18">
      <c r="G18" t="str">
        <f t="shared" si="2"/>
        <v/>
      </c>
    </row>
    <row r="19">
      <c r="A19" s="23"/>
      <c r="G19" t="str">
        <f t="shared" si="2"/>
        <v/>
      </c>
    </row>
    <row r="20">
      <c r="A20" s="23" t="s">
        <v>162</v>
      </c>
      <c r="B20" s="129" t="s">
        <v>47</v>
      </c>
      <c r="G20" t="str">
        <f t="shared" si="2"/>
        <v/>
      </c>
    </row>
    <row r="21">
      <c r="G21" t="str">
        <f t="shared" si="2"/>
        <v/>
      </c>
    </row>
    <row r="22">
      <c r="G22" t="str">
        <f t="shared" si="2"/>
        <v/>
      </c>
    </row>
    <row r="23">
      <c r="A23" s="23" t="s">
        <v>163</v>
      </c>
      <c r="B23" s="23">
        <v>80.0</v>
      </c>
      <c r="G23" t="str">
        <f t="shared" si="2"/>
        <v/>
      </c>
    </row>
    <row r="24">
      <c r="A24" s="23" t="s">
        <v>164</v>
      </c>
      <c r="B24" s="23">
        <v>130.0</v>
      </c>
      <c r="G24" t="str">
        <f t="shared" si="2"/>
        <v/>
      </c>
    </row>
    <row r="25">
      <c r="G25" t="str">
        <f t="shared" si="2"/>
        <v/>
      </c>
    </row>
    <row r="26">
      <c r="G26" t="str">
        <f t="shared" si="2"/>
        <v/>
      </c>
    </row>
    <row r="27">
      <c r="G27" t="str">
        <f t="shared" si="2"/>
        <v/>
      </c>
    </row>
    <row r="28">
      <c r="G28" t="str">
        <f t="shared" si="2"/>
        <v/>
      </c>
    </row>
    <row r="29">
      <c r="G29" t="str">
        <f t="shared" si="2"/>
        <v/>
      </c>
    </row>
    <row r="30">
      <c r="G30" t="str">
        <f t="shared" si="2"/>
        <v/>
      </c>
    </row>
    <row r="31">
      <c r="G31" t="str">
        <f t="shared" si="2"/>
        <v/>
      </c>
    </row>
    <row r="32">
      <c r="G32" t="str">
        <f t="shared" si="2"/>
        <v/>
      </c>
    </row>
    <row r="33">
      <c r="G33" t="str">
        <f t="shared" si="2"/>
        <v/>
      </c>
    </row>
    <row r="34">
      <c r="G34" t="str">
        <f t="shared" si="2"/>
        <v/>
      </c>
    </row>
    <row r="35">
      <c r="G35" t="str">
        <f t="shared" si="2"/>
        <v/>
      </c>
    </row>
    <row r="36">
      <c r="G36" t="str">
        <f t="shared" si="2"/>
        <v/>
      </c>
    </row>
    <row r="37">
      <c r="G37" t="str">
        <f t="shared" si="2"/>
        <v/>
      </c>
    </row>
    <row r="38">
      <c r="G38" t="str">
        <f t="shared" si="2"/>
        <v/>
      </c>
    </row>
    <row r="39">
      <c r="G39" t="str">
        <f t="shared" si="2"/>
        <v/>
      </c>
    </row>
    <row r="40">
      <c r="G40" t="str">
        <f t="shared" si="2"/>
        <v/>
      </c>
    </row>
    <row r="41">
      <c r="G41" t="str">
        <f t="shared" si="2"/>
        <v/>
      </c>
    </row>
    <row r="42">
      <c r="G42" t="str">
        <f t="shared" si="2"/>
        <v/>
      </c>
    </row>
    <row r="43">
      <c r="G43" t="str">
        <f t="shared" si="2"/>
        <v/>
      </c>
    </row>
    <row r="44">
      <c r="G44" t="str">
        <f t="shared" si="2"/>
        <v/>
      </c>
    </row>
    <row r="45">
      <c r="G45" t="str">
        <f t="shared" si="2"/>
        <v/>
      </c>
    </row>
    <row r="46">
      <c r="G46" t="str">
        <f t="shared" si="2"/>
        <v/>
      </c>
    </row>
    <row r="47">
      <c r="G47" t="str">
        <f t="shared" si="2"/>
        <v/>
      </c>
    </row>
    <row r="48">
      <c r="G48" t="str">
        <f t="shared" si="2"/>
        <v/>
      </c>
    </row>
    <row r="49">
      <c r="G49" t="str">
        <f t="shared" si="2"/>
        <v/>
      </c>
    </row>
    <row r="50">
      <c r="G50" t="str">
        <f t="shared" si="2"/>
        <v/>
      </c>
    </row>
    <row r="51">
      <c r="G51" t="str">
        <f t="shared" si="2"/>
        <v/>
      </c>
    </row>
    <row r="52">
      <c r="G52" t="str">
        <f t="shared" si="2"/>
        <v/>
      </c>
    </row>
    <row r="53">
      <c r="G53" t="str">
        <f t="shared" si="2"/>
        <v/>
      </c>
    </row>
    <row r="54">
      <c r="G54" t="str">
        <f t="shared" si="2"/>
        <v/>
      </c>
    </row>
    <row r="55">
      <c r="G55" t="str">
        <f t="shared" si="2"/>
        <v/>
      </c>
    </row>
    <row r="56">
      <c r="G56" t="str">
        <f t="shared" si="2"/>
        <v/>
      </c>
    </row>
    <row r="57">
      <c r="G57" t="str">
        <f t="shared" si="2"/>
        <v/>
      </c>
    </row>
    <row r="58">
      <c r="G58" t="str">
        <f t="shared" si="2"/>
        <v/>
      </c>
    </row>
    <row r="59">
      <c r="G59" t="str">
        <f t="shared" si="2"/>
        <v/>
      </c>
    </row>
    <row r="60">
      <c r="G60" t="str">
        <f t="shared" si="2"/>
        <v/>
      </c>
    </row>
    <row r="61">
      <c r="G61" t="str">
        <f t="shared" si="2"/>
        <v/>
      </c>
    </row>
    <row r="62">
      <c r="G62" t="str">
        <f t="shared" si="2"/>
        <v/>
      </c>
    </row>
    <row r="63">
      <c r="G63" t="str">
        <f t="shared" si="2"/>
        <v/>
      </c>
    </row>
    <row r="64">
      <c r="G64" t="str">
        <f t="shared" si="2"/>
        <v/>
      </c>
    </row>
    <row r="65">
      <c r="G65" t="str">
        <f t="shared" si="2"/>
        <v/>
      </c>
    </row>
    <row r="66">
      <c r="G66" t="str">
        <f t="shared" si="2"/>
        <v/>
      </c>
    </row>
    <row r="67">
      <c r="G67" t="str">
        <f t="shared" si="2"/>
        <v/>
      </c>
    </row>
    <row r="68">
      <c r="G68" t="str">
        <f t="shared" si="2"/>
        <v/>
      </c>
    </row>
    <row r="69">
      <c r="G69" t="str">
        <f t="shared" si="2"/>
        <v/>
      </c>
    </row>
    <row r="70">
      <c r="G70" t="str">
        <f t="shared" si="2"/>
        <v/>
      </c>
    </row>
    <row r="71">
      <c r="G71" t="str">
        <f t="shared" si="2"/>
        <v/>
      </c>
    </row>
    <row r="72">
      <c r="G72" t="str">
        <f t="shared" si="2"/>
        <v/>
      </c>
    </row>
    <row r="73">
      <c r="G73" t="str">
        <f t="shared" si="2"/>
        <v/>
      </c>
    </row>
    <row r="74">
      <c r="G74" t="str">
        <f t="shared" si="2"/>
        <v/>
      </c>
    </row>
    <row r="75">
      <c r="G75" t="str">
        <f t="shared" si="2"/>
        <v/>
      </c>
    </row>
    <row r="76">
      <c r="G76" t="str">
        <f t="shared" si="2"/>
        <v/>
      </c>
    </row>
    <row r="77">
      <c r="G77" t="str">
        <f t="shared" si="2"/>
        <v/>
      </c>
    </row>
    <row r="78">
      <c r="G78" t="str">
        <f t="shared" si="2"/>
        <v/>
      </c>
    </row>
    <row r="79">
      <c r="G79" t="str">
        <f t="shared" si="2"/>
        <v/>
      </c>
    </row>
    <row r="80">
      <c r="G80" t="str">
        <f t="shared" si="2"/>
        <v/>
      </c>
    </row>
    <row r="81">
      <c r="G81" t="str">
        <f t="shared" si="2"/>
        <v/>
      </c>
    </row>
    <row r="82">
      <c r="G82" t="str">
        <f t="shared" si="2"/>
        <v/>
      </c>
    </row>
    <row r="83">
      <c r="G83" t="str">
        <f t="shared" si="2"/>
        <v/>
      </c>
    </row>
    <row r="84">
      <c r="G84" t="str">
        <f t="shared" si="2"/>
        <v/>
      </c>
    </row>
    <row r="85">
      <c r="G85" t="str">
        <f t="shared" si="2"/>
        <v/>
      </c>
    </row>
    <row r="86">
      <c r="G86" t="str">
        <f t="shared" si="2"/>
        <v/>
      </c>
    </row>
    <row r="87">
      <c r="G87" t="str">
        <f t="shared" si="2"/>
        <v/>
      </c>
    </row>
    <row r="88">
      <c r="G88" t="str">
        <f t="shared" si="2"/>
        <v/>
      </c>
    </row>
    <row r="89">
      <c r="G89" t="str">
        <f t="shared" si="2"/>
        <v/>
      </c>
    </row>
    <row r="90">
      <c r="G90" t="str">
        <f t="shared" si="2"/>
        <v/>
      </c>
    </row>
    <row r="91">
      <c r="G91" t="str">
        <f t="shared" si="2"/>
        <v/>
      </c>
    </row>
    <row r="92">
      <c r="G92" t="str">
        <f t="shared" si="2"/>
        <v/>
      </c>
    </row>
    <row r="93">
      <c r="G93" t="str">
        <f t="shared" si="2"/>
        <v/>
      </c>
    </row>
    <row r="94">
      <c r="G94" t="str">
        <f t="shared" si="2"/>
        <v/>
      </c>
    </row>
    <row r="95">
      <c r="G95" t="str">
        <f t="shared" si="2"/>
        <v/>
      </c>
    </row>
    <row r="96">
      <c r="G96" t="str">
        <f t="shared" si="2"/>
        <v/>
      </c>
    </row>
    <row r="97">
      <c r="G97" t="str">
        <f t="shared" si="2"/>
        <v/>
      </c>
    </row>
    <row r="98">
      <c r="G98" t="str">
        <f t="shared" si="2"/>
        <v/>
      </c>
    </row>
    <row r="99">
      <c r="G99" t="str">
        <f t="shared" si="2"/>
        <v/>
      </c>
    </row>
    <row r="100">
      <c r="G100" t="str">
        <f t="shared" si="2"/>
        <v/>
      </c>
    </row>
    <row r="101">
      <c r="G101" t="str">
        <f t="shared" si="2"/>
        <v/>
      </c>
    </row>
    <row r="102">
      <c r="G102" t="str">
        <f t="shared" si="2"/>
        <v/>
      </c>
    </row>
    <row r="103">
      <c r="G103" t="str">
        <f t="shared" si="2"/>
        <v/>
      </c>
    </row>
    <row r="104">
      <c r="G104" t="str">
        <f t="shared" si="2"/>
        <v/>
      </c>
    </row>
    <row r="105">
      <c r="G105" t="str">
        <f t="shared" si="2"/>
        <v/>
      </c>
    </row>
    <row r="106">
      <c r="G106" t="str">
        <f t="shared" si="2"/>
        <v/>
      </c>
    </row>
    <row r="107">
      <c r="G107" t="str">
        <f t="shared" si="2"/>
        <v/>
      </c>
    </row>
    <row r="108">
      <c r="G108" t="str">
        <f t="shared" si="2"/>
        <v/>
      </c>
    </row>
    <row r="109">
      <c r="G109" t="str">
        <f t="shared" si="2"/>
        <v/>
      </c>
    </row>
    <row r="110">
      <c r="G110" t="str">
        <f t="shared" si="2"/>
        <v/>
      </c>
    </row>
    <row r="111">
      <c r="G111" t="str">
        <f t="shared" si="2"/>
        <v/>
      </c>
    </row>
    <row r="112">
      <c r="G112" t="str">
        <f t="shared" si="2"/>
        <v/>
      </c>
    </row>
    <row r="113">
      <c r="G113" t="str">
        <f t="shared" si="2"/>
        <v/>
      </c>
    </row>
    <row r="114">
      <c r="G114" t="str">
        <f t="shared" si="2"/>
        <v/>
      </c>
    </row>
    <row r="115">
      <c r="G115" t="str">
        <f t="shared" si="2"/>
        <v/>
      </c>
    </row>
    <row r="116">
      <c r="G116" t="str">
        <f t="shared" si="2"/>
        <v/>
      </c>
    </row>
    <row r="117">
      <c r="G117" t="str">
        <f t="shared" si="2"/>
        <v/>
      </c>
    </row>
    <row r="118">
      <c r="G118" t="str">
        <f t="shared" si="2"/>
        <v/>
      </c>
    </row>
    <row r="119">
      <c r="G119" t="str">
        <f t="shared" si="2"/>
        <v/>
      </c>
    </row>
    <row r="120">
      <c r="G120" t="str">
        <f t="shared" si="2"/>
        <v/>
      </c>
    </row>
    <row r="121">
      <c r="G121" t="str">
        <f t="shared" si="2"/>
        <v/>
      </c>
    </row>
    <row r="122">
      <c r="G122" t="str">
        <f t="shared" si="2"/>
        <v/>
      </c>
    </row>
    <row r="123">
      <c r="G123" t="str">
        <f t="shared" si="2"/>
        <v/>
      </c>
    </row>
    <row r="124">
      <c r="G124" t="str">
        <f t="shared" si="2"/>
        <v/>
      </c>
    </row>
    <row r="125">
      <c r="G125" t="str">
        <f t="shared" si="2"/>
        <v/>
      </c>
    </row>
    <row r="126">
      <c r="G126" t="str">
        <f t="shared" si="2"/>
        <v/>
      </c>
    </row>
    <row r="127">
      <c r="G127" t="str">
        <f t="shared" si="2"/>
        <v/>
      </c>
    </row>
    <row r="128">
      <c r="G128" t="str">
        <f t="shared" si="2"/>
        <v/>
      </c>
    </row>
    <row r="129">
      <c r="G129" t="str">
        <f t="shared" si="2"/>
        <v/>
      </c>
    </row>
    <row r="130">
      <c r="G130" t="str">
        <f t="shared" si="2"/>
        <v/>
      </c>
    </row>
    <row r="131">
      <c r="G131" t="str">
        <f t="shared" si="2"/>
        <v/>
      </c>
    </row>
    <row r="132">
      <c r="G132" t="str">
        <f t="shared" si="2"/>
        <v/>
      </c>
    </row>
    <row r="133">
      <c r="G133" t="str">
        <f t="shared" si="2"/>
        <v/>
      </c>
    </row>
    <row r="134">
      <c r="G134" t="str">
        <f t="shared" si="2"/>
        <v/>
      </c>
    </row>
    <row r="135">
      <c r="G135" t="str">
        <f t="shared" si="2"/>
        <v/>
      </c>
    </row>
    <row r="136">
      <c r="G136" t="str">
        <f t="shared" si="2"/>
        <v/>
      </c>
    </row>
    <row r="137">
      <c r="G137" t="str">
        <f t="shared" si="2"/>
        <v/>
      </c>
    </row>
    <row r="138">
      <c r="G138" t="str">
        <f t="shared" si="2"/>
        <v/>
      </c>
    </row>
    <row r="139">
      <c r="G139" t="str">
        <f t="shared" si="2"/>
        <v/>
      </c>
    </row>
    <row r="140">
      <c r="G140" t="str">
        <f t="shared" si="2"/>
        <v/>
      </c>
    </row>
    <row r="141">
      <c r="G141" t="str">
        <f t="shared" si="2"/>
        <v/>
      </c>
    </row>
    <row r="142">
      <c r="G142" t="str">
        <f t="shared" si="2"/>
        <v/>
      </c>
    </row>
    <row r="143">
      <c r="G143" t="str">
        <f t="shared" si="2"/>
        <v/>
      </c>
    </row>
    <row r="144">
      <c r="G144" t="str">
        <f t="shared" si="2"/>
        <v/>
      </c>
    </row>
    <row r="145">
      <c r="G145" t="str">
        <f t="shared" si="2"/>
        <v/>
      </c>
    </row>
    <row r="146">
      <c r="G146" t="str">
        <f t="shared" si="2"/>
        <v/>
      </c>
    </row>
    <row r="147">
      <c r="G147" t="str">
        <f t="shared" si="2"/>
        <v/>
      </c>
    </row>
    <row r="148">
      <c r="G148" t="str">
        <f t="shared" si="2"/>
        <v/>
      </c>
    </row>
    <row r="149">
      <c r="G149" t="str">
        <f t="shared" si="2"/>
        <v/>
      </c>
    </row>
    <row r="150">
      <c r="G150" t="str">
        <f t="shared" si="2"/>
        <v/>
      </c>
    </row>
    <row r="151">
      <c r="G151" t="str">
        <f t="shared" si="2"/>
        <v/>
      </c>
    </row>
    <row r="152">
      <c r="G152" t="str">
        <f t="shared" si="2"/>
        <v/>
      </c>
    </row>
    <row r="153">
      <c r="G153" t="str">
        <f t="shared" si="2"/>
        <v/>
      </c>
    </row>
    <row r="154">
      <c r="G154" t="str">
        <f t="shared" si="2"/>
        <v/>
      </c>
    </row>
    <row r="155">
      <c r="G155" t="str">
        <f t="shared" si="2"/>
        <v/>
      </c>
    </row>
    <row r="156">
      <c r="G156" t="str">
        <f t="shared" si="2"/>
        <v/>
      </c>
    </row>
    <row r="157">
      <c r="G157" t="str">
        <f t="shared" si="2"/>
        <v/>
      </c>
    </row>
    <row r="158">
      <c r="G158" t="str">
        <f t="shared" si="2"/>
        <v/>
      </c>
    </row>
    <row r="159">
      <c r="G159" t="str">
        <f t="shared" si="2"/>
        <v/>
      </c>
    </row>
    <row r="160">
      <c r="G160" t="str">
        <f t="shared" si="2"/>
        <v/>
      </c>
    </row>
    <row r="161">
      <c r="G161" t="str">
        <f t="shared" si="2"/>
        <v/>
      </c>
    </row>
    <row r="162">
      <c r="G162" t="str">
        <f t="shared" si="2"/>
        <v/>
      </c>
    </row>
    <row r="163">
      <c r="G163" t="str">
        <f t="shared" si="2"/>
        <v/>
      </c>
    </row>
    <row r="164">
      <c r="G164" t="str">
        <f t="shared" si="2"/>
        <v/>
      </c>
    </row>
    <row r="165">
      <c r="G165" t="str">
        <f t="shared" si="2"/>
        <v/>
      </c>
    </row>
    <row r="166">
      <c r="G166" t="str">
        <f t="shared" si="2"/>
        <v/>
      </c>
    </row>
    <row r="167">
      <c r="G167" t="str">
        <f t="shared" si="2"/>
        <v/>
      </c>
    </row>
    <row r="168">
      <c r="G168" t="str">
        <f t="shared" si="2"/>
        <v/>
      </c>
    </row>
    <row r="169">
      <c r="G169" t="str">
        <f t="shared" si="2"/>
        <v/>
      </c>
    </row>
    <row r="170">
      <c r="G170" t="str">
        <f t="shared" si="2"/>
        <v/>
      </c>
    </row>
    <row r="171">
      <c r="G171" t="str">
        <f t="shared" si="2"/>
        <v/>
      </c>
    </row>
    <row r="172">
      <c r="G172" t="str">
        <f t="shared" si="2"/>
        <v/>
      </c>
    </row>
    <row r="173">
      <c r="G173" t="str">
        <f t="shared" si="2"/>
        <v/>
      </c>
    </row>
    <row r="174">
      <c r="G174" t="str">
        <f t="shared" si="2"/>
        <v/>
      </c>
    </row>
    <row r="175">
      <c r="G175" t="str">
        <f t="shared" si="2"/>
        <v/>
      </c>
    </row>
    <row r="176">
      <c r="G176" t="str">
        <f t="shared" si="2"/>
        <v/>
      </c>
    </row>
    <row r="177">
      <c r="G177" t="str">
        <f t="shared" si="2"/>
        <v/>
      </c>
    </row>
    <row r="178">
      <c r="G178" t="str">
        <f t="shared" si="2"/>
        <v/>
      </c>
    </row>
    <row r="179">
      <c r="G179" t="str">
        <f t="shared" si="2"/>
        <v/>
      </c>
    </row>
    <row r="180">
      <c r="G180" t="str">
        <f t="shared" si="2"/>
        <v/>
      </c>
    </row>
    <row r="181">
      <c r="G181" t="str">
        <f t="shared" si="2"/>
        <v/>
      </c>
    </row>
    <row r="182">
      <c r="G182" t="str">
        <f t="shared" si="2"/>
        <v/>
      </c>
    </row>
    <row r="183">
      <c r="G183" t="str">
        <f t="shared" si="2"/>
        <v/>
      </c>
    </row>
    <row r="184">
      <c r="G184" t="str">
        <f t="shared" si="2"/>
        <v/>
      </c>
    </row>
    <row r="185">
      <c r="G185" t="str">
        <f t="shared" si="2"/>
        <v/>
      </c>
    </row>
    <row r="186">
      <c r="G186" t="str">
        <f t="shared" si="2"/>
        <v/>
      </c>
    </row>
    <row r="187">
      <c r="G187" t="str">
        <f t="shared" si="2"/>
        <v/>
      </c>
    </row>
    <row r="188">
      <c r="G188" t="str">
        <f t="shared" si="2"/>
        <v/>
      </c>
    </row>
    <row r="189">
      <c r="G189" t="str">
        <f t="shared" si="2"/>
        <v/>
      </c>
    </row>
    <row r="190">
      <c r="G190" t="str">
        <f t="shared" si="2"/>
        <v/>
      </c>
    </row>
    <row r="191">
      <c r="G191" t="str">
        <f t="shared" si="2"/>
        <v/>
      </c>
    </row>
    <row r="192">
      <c r="G192" t="str">
        <f t="shared" si="2"/>
        <v/>
      </c>
    </row>
    <row r="193">
      <c r="G193" t="str">
        <f t="shared" si="2"/>
        <v/>
      </c>
    </row>
    <row r="194">
      <c r="G194" t="str">
        <f t="shared" si="2"/>
        <v/>
      </c>
    </row>
    <row r="195">
      <c r="G195" t="str">
        <f t="shared" si="2"/>
        <v/>
      </c>
    </row>
    <row r="196">
      <c r="G196" t="str">
        <f t="shared" si="2"/>
        <v/>
      </c>
    </row>
    <row r="197">
      <c r="G197" t="str">
        <f t="shared" si="2"/>
        <v/>
      </c>
    </row>
    <row r="198">
      <c r="G198" t="str">
        <f t="shared" si="2"/>
        <v/>
      </c>
    </row>
    <row r="199">
      <c r="G199" t="str">
        <f t="shared" si="2"/>
        <v/>
      </c>
    </row>
    <row r="200">
      <c r="G200" t="str">
        <f t="shared" si="2"/>
        <v/>
      </c>
    </row>
  </sheetData>
  <dataValidations>
    <dataValidation type="list" allowBlank="1" showErrorMessage="1" sqref="B20">
      <formula1>'Scratch Pad'!$B$7:$B$17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0.29"/>
    <col customWidth="1" min="2" max="2" width="8.71"/>
    <col customWidth="1" min="3" max="12" width="8.14"/>
    <col customWidth="1" hidden="1" min="13" max="14" width="8.71"/>
    <col customWidth="1" hidden="1" min="15" max="15" width="22.14"/>
    <col customWidth="1" hidden="1" min="16" max="19" width="8.71"/>
    <col customWidth="1" hidden="1" min="20" max="20" width="13.43"/>
    <col customWidth="1" hidden="1" min="21" max="21" width="21.43"/>
    <col customWidth="1" hidden="1" min="22" max="22" width="21.0"/>
  </cols>
  <sheetData>
    <row r="1">
      <c r="I1" s="69" t="s">
        <v>165</v>
      </c>
      <c r="J1" s="68"/>
      <c r="K1" s="68"/>
      <c r="L1" s="99"/>
      <c r="O1" s="130"/>
      <c r="P1" s="130"/>
      <c r="Q1" s="130"/>
      <c r="R1" s="130"/>
      <c r="S1" s="130"/>
      <c r="T1" s="130"/>
      <c r="U1" s="130"/>
      <c r="V1" s="130"/>
    </row>
    <row r="2" ht="19.5" customHeight="1">
      <c r="I2" s="12" t="s">
        <v>24</v>
      </c>
      <c r="L2" s="56"/>
      <c r="O2" s="130"/>
      <c r="P2" s="130"/>
      <c r="Q2" s="130"/>
      <c r="R2" s="130"/>
      <c r="S2" s="130"/>
      <c r="T2" s="130"/>
      <c r="U2" s="130"/>
      <c r="V2" s="130"/>
    </row>
    <row r="3">
      <c r="A3" s="13" t="s">
        <v>166</v>
      </c>
      <c r="B3" s="15"/>
      <c r="C3" s="131" t="str">
        <f>sheetname(D4)</f>
        <v>#NAME?</v>
      </c>
      <c r="D3" s="132"/>
      <c r="E3" s="133" t="s">
        <v>167</v>
      </c>
      <c r="F3" s="14"/>
      <c r="G3" s="134"/>
      <c r="H3" s="135">
        <v>1.0</v>
      </c>
      <c r="I3" s="18"/>
      <c r="L3" s="56"/>
      <c r="O3" s="130"/>
      <c r="P3" s="130"/>
      <c r="Q3" s="130"/>
      <c r="R3" s="130"/>
      <c r="S3" s="130"/>
      <c r="T3" s="130"/>
      <c r="U3" s="130"/>
      <c r="V3" s="130"/>
    </row>
    <row r="4">
      <c r="A4" s="136" t="s">
        <v>168</v>
      </c>
      <c r="B4" s="99"/>
      <c r="C4" s="137" t="s">
        <v>169</v>
      </c>
      <c r="D4" s="138"/>
      <c r="E4" s="137" t="s">
        <v>170</v>
      </c>
      <c r="F4" s="138"/>
      <c r="G4" s="137" t="s">
        <v>171</v>
      </c>
      <c r="H4" s="138"/>
      <c r="I4" s="18"/>
      <c r="L4" s="56"/>
      <c r="O4" s="130"/>
      <c r="P4" s="130"/>
      <c r="Q4" s="130"/>
      <c r="R4" s="130"/>
      <c r="S4" s="130"/>
      <c r="T4" s="130"/>
      <c r="U4" s="130"/>
      <c r="V4" s="130"/>
    </row>
    <row r="5">
      <c r="A5" s="139" t="s">
        <v>172</v>
      </c>
      <c r="B5" s="140" t="s">
        <v>173</v>
      </c>
      <c r="C5" s="141" t="s">
        <v>174</v>
      </c>
      <c r="D5" s="141" t="s">
        <v>175</v>
      </c>
      <c r="E5" s="141" t="s">
        <v>176</v>
      </c>
      <c r="F5" s="141" t="s">
        <v>177</v>
      </c>
      <c r="G5" s="141" t="s">
        <v>178</v>
      </c>
      <c r="H5" s="141" t="s">
        <v>179</v>
      </c>
      <c r="I5" s="141" t="s">
        <v>180</v>
      </c>
      <c r="J5" s="141" t="s">
        <v>181</v>
      </c>
      <c r="K5" s="141" t="s">
        <v>182</v>
      </c>
      <c r="L5" s="142" t="s">
        <v>183</v>
      </c>
      <c r="O5" s="143" t="s">
        <v>184</v>
      </c>
      <c r="P5" s="144">
        <f>sum(K13:K14)</f>
        <v>0</v>
      </c>
      <c r="Q5" s="145">
        <v>80.0</v>
      </c>
      <c r="R5" s="144">
        <f t="shared" ref="R5:R6" si="1">sum(P5*Q5)</f>
        <v>0</v>
      </c>
      <c r="S5" s="130"/>
      <c r="T5" s="146" t="s">
        <v>185</v>
      </c>
      <c r="U5" s="146" t="s">
        <v>186</v>
      </c>
      <c r="V5" s="146" t="s">
        <v>187</v>
      </c>
    </row>
    <row r="6" ht="17.25" customHeight="1">
      <c r="A6" s="147"/>
      <c r="B6" s="148"/>
      <c r="C6" s="149"/>
      <c r="D6" s="150"/>
      <c r="E6" s="150"/>
      <c r="F6" s="150"/>
      <c r="G6" s="150"/>
      <c r="H6" s="150"/>
      <c r="I6" s="150"/>
      <c r="J6" s="151"/>
      <c r="K6" s="150"/>
      <c r="L6" s="152"/>
      <c r="O6" s="143" t="s">
        <v>188</v>
      </c>
      <c r="P6" s="144">
        <f>sum(K15:K16)</f>
        <v>0</v>
      </c>
      <c r="Q6" s="145">
        <v>130.0</v>
      </c>
      <c r="R6" s="144">
        <f t="shared" si="1"/>
        <v>0</v>
      </c>
      <c r="S6" s="130"/>
      <c r="T6" s="130" t="str">
        <f>'Scratch Pad'!G4</f>
        <v/>
      </c>
      <c r="U6" s="130" t="str">
        <f t="shared" ref="U6:U25" si="2">IF(EQ(T6, ""), "", INDIRECT(T6&amp;"!E3"))</f>
        <v/>
      </c>
      <c r="V6" s="153" t="str">
        <f t="shared" ref="V6:V25" si="3">if(AND(NE(T6, ""), EQ($C$3, U6)), INDIRECT(T6&amp;"!P9"), 0)</f>
        <v>#NAME?</v>
      </c>
    </row>
    <row r="7" ht="17.25" customHeight="1">
      <c r="A7" s="154"/>
      <c r="B7" s="155"/>
      <c r="C7" s="156"/>
      <c r="D7" s="157"/>
      <c r="E7" s="156"/>
      <c r="F7" s="156"/>
      <c r="G7" s="156"/>
      <c r="H7" s="156"/>
      <c r="I7" s="156"/>
      <c r="J7" s="158"/>
      <c r="K7" s="156"/>
      <c r="L7" s="159"/>
      <c r="O7" s="143" t="s">
        <v>189</v>
      </c>
      <c r="P7" s="144">
        <f>sum(P5:P6)</f>
        <v>0</v>
      </c>
      <c r="Q7" s="130"/>
      <c r="R7" s="144">
        <f>sum(R5:R6)</f>
        <v>0</v>
      </c>
      <c r="S7" s="130"/>
      <c r="T7" s="130" t="str">
        <f>'Scratch Pad'!G5</f>
        <v/>
      </c>
      <c r="U7" s="130" t="str">
        <f t="shared" si="2"/>
        <v/>
      </c>
      <c r="V7" s="153" t="str">
        <f t="shared" si="3"/>
        <v>#NAME?</v>
      </c>
    </row>
    <row r="8" ht="17.25" customHeight="1">
      <c r="A8" s="160"/>
      <c r="B8" s="155"/>
      <c r="C8" s="161"/>
      <c r="D8" s="161"/>
      <c r="E8" s="161"/>
      <c r="F8" s="161"/>
      <c r="G8" s="161"/>
      <c r="H8" s="161"/>
      <c r="I8" s="161"/>
      <c r="J8" s="162"/>
      <c r="K8" s="161"/>
      <c r="L8" s="163"/>
      <c r="O8" s="130"/>
      <c r="P8" s="130"/>
      <c r="Q8" s="130"/>
      <c r="R8" s="130"/>
      <c r="S8" s="130"/>
      <c r="T8" s="130" t="str">
        <f>'Scratch Pad'!G6</f>
        <v/>
      </c>
      <c r="U8" s="130" t="str">
        <f t="shared" si="2"/>
        <v/>
      </c>
      <c r="V8" s="153" t="str">
        <f t="shared" si="3"/>
        <v>#NAME?</v>
      </c>
    </row>
    <row r="9" ht="17.25" customHeight="1">
      <c r="A9" s="154"/>
      <c r="B9" s="155"/>
      <c r="C9" s="156"/>
      <c r="D9" s="156"/>
      <c r="E9" s="156"/>
      <c r="F9" s="156"/>
      <c r="G9" s="156"/>
      <c r="H9" s="156"/>
      <c r="I9" s="156"/>
      <c r="J9" s="158"/>
      <c r="K9" s="156"/>
      <c r="L9" s="159"/>
      <c r="O9" s="143" t="s">
        <v>190</v>
      </c>
      <c r="P9" s="144">
        <f>sum(D4*F4*H4)</f>
        <v>0</v>
      </c>
      <c r="Q9" s="130"/>
      <c r="R9" s="130"/>
      <c r="S9" s="130"/>
      <c r="T9" s="130" t="str">
        <f>'Scratch Pad'!G7</f>
        <v/>
      </c>
      <c r="U9" s="130" t="str">
        <f t="shared" si="2"/>
        <v/>
      </c>
      <c r="V9" s="153" t="str">
        <f t="shared" si="3"/>
        <v>#NAME?</v>
      </c>
    </row>
    <row r="10" ht="17.25" customHeight="1">
      <c r="A10" s="160"/>
      <c r="B10" s="155"/>
      <c r="C10" s="161"/>
      <c r="D10" s="161"/>
      <c r="E10" s="161"/>
      <c r="F10" s="161"/>
      <c r="G10" s="161"/>
      <c r="H10" s="161"/>
      <c r="I10" s="161"/>
      <c r="J10" s="162"/>
      <c r="K10" s="161"/>
      <c r="L10" s="163"/>
      <c r="O10" s="143" t="s">
        <v>191</v>
      </c>
      <c r="P10" s="144" t="str">
        <f>SUM(V6:V214)</f>
        <v>#NAME?</v>
      </c>
      <c r="Q10" s="130"/>
      <c r="R10" s="130"/>
      <c r="S10" s="130"/>
      <c r="T10" s="130" t="str">
        <f>'Scratch Pad'!G8</f>
        <v/>
      </c>
      <c r="U10" s="130" t="str">
        <f t="shared" si="2"/>
        <v/>
      </c>
      <c r="V10" s="153" t="str">
        <f t="shared" si="3"/>
        <v>#NAME?</v>
      </c>
    </row>
    <row r="11" ht="17.25" customHeight="1">
      <c r="A11" s="164"/>
      <c r="B11" s="165"/>
      <c r="C11" s="166"/>
      <c r="D11" s="166"/>
      <c r="E11" s="166"/>
      <c r="F11" s="166"/>
      <c r="G11" s="166"/>
      <c r="H11" s="166"/>
      <c r="I11" s="166"/>
      <c r="J11" s="167"/>
      <c r="K11" s="166"/>
      <c r="L11" s="168"/>
      <c r="O11" s="143" t="s">
        <v>192</v>
      </c>
      <c r="P11" s="144" t="str">
        <f>sum(P9:P10)</f>
        <v>#NAME?</v>
      </c>
      <c r="Q11" s="130"/>
      <c r="R11" s="130"/>
      <c r="S11" s="130"/>
      <c r="T11" s="130" t="str">
        <f>'Scratch Pad'!G9</f>
        <v/>
      </c>
      <c r="U11" s="130" t="str">
        <f t="shared" si="2"/>
        <v/>
      </c>
      <c r="V11" s="153" t="str">
        <f t="shared" si="3"/>
        <v>#NAME?</v>
      </c>
    </row>
    <row r="12" ht="17.25" customHeight="1">
      <c r="A12" s="169" t="s">
        <v>193</v>
      </c>
      <c r="B12" s="95" t="s">
        <v>194</v>
      </c>
      <c r="C12" s="96"/>
      <c r="D12" s="96"/>
      <c r="E12" s="170" t="s">
        <v>195</v>
      </c>
      <c r="F12" s="95" t="s">
        <v>38</v>
      </c>
      <c r="G12" s="171"/>
      <c r="H12" s="172" t="s">
        <v>196</v>
      </c>
      <c r="K12" s="173"/>
      <c r="L12" s="174" t="b">
        <v>0</v>
      </c>
      <c r="O12" s="130"/>
      <c r="P12" s="175"/>
      <c r="Q12" s="130"/>
      <c r="R12" s="130"/>
      <c r="S12" s="130"/>
      <c r="T12" s="130" t="str">
        <f>'Scratch Pad'!G10</f>
        <v/>
      </c>
      <c r="U12" s="130" t="str">
        <f t="shared" si="2"/>
        <v/>
      </c>
      <c r="V12" s="153" t="str">
        <f t="shared" si="3"/>
        <v>#NAME?</v>
      </c>
    </row>
    <row r="13" ht="17.25" customHeight="1">
      <c r="A13" s="176" t="b">
        <v>0</v>
      </c>
      <c r="B13" s="177" t="s">
        <v>197</v>
      </c>
      <c r="E13" s="176"/>
      <c r="F13" s="176" t="b">
        <v>0</v>
      </c>
      <c r="G13" s="178"/>
      <c r="H13" s="179" t="s">
        <v>198</v>
      </c>
      <c r="I13" s="180"/>
      <c r="J13" s="180"/>
      <c r="K13" s="181"/>
      <c r="L13" s="182" t="str">
        <f>if(L12=FALSE,"",1)</f>
        <v/>
      </c>
      <c r="O13" s="130"/>
      <c r="P13" s="130"/>
      <c r="Q13" s="130"/>
      <c r="R13" s="130"/>
      <c r="S13" s="130"/>
      <c r="T13" s="130" t="str">
        <f>'Scratch Pad'!G11</f>
        <v/>
      </c>
      <c r="U13" s="130" t="str">
        <f t="shared" si="2"/>
        <v/>
      </c>
      <c r="V13" s="153" t="str">
        <f t="shared" si="3"/>
        <v>#NAME?</v>
      </c>
    </row>
    <row r="14" ht="17.25" customHeight="1">
      <c r="A14" s="183" t="b">
        <v>0</v>
      </c>
      <c r="B14" s="184" t="s">
        <v>197</v>
      </c>
      <c r="E14" s="183"/>
      <c r="F14" s="183" t="b">
        <v>0</v>
      </c>
      <c r="G14" s="178"/>
      <c r="H14" s="184" t="s">
        <v>199</v>
      </c>
      <c r="I14" s="185"/>
      <c r="J14" s="185"/>
      <c r="K14" s="186"/>
      <c r="L14" s="187"/>
      <c r="O14" s="130"/>
      <c r="P14" s="130"/>
      <c r="Q14" s="130"/>
      <c r="R14" s="130"/>
      <c r="S14" s="130"/>
      <c r="T14" s="130" t="str">
        <f>'Scratch Pad'!G12</f>
        <v/>
      </c>
      <c r="U14" s="130" t="str">
        <f t="shared" si="2"/>
        <v/>
      </c>
      <c r="V14" s="153" t="str">
        <f t="shared" si="3"/>
        <v>#NAME?</v>
      </c>
    </row>
    <row r="15" ht="17.25" customHeight="1">
      <c r="A15" s="188" t="b">
        <v>0</v>
      </c>
      <c r="B15" s="177" t="s">
        <v>200</v>
      </c>
      <c r="E15" s="188"/>
      <c r="F15" s="188" t="b">
        <v>0</v>
      </c>
      <c r="G15" s="178"/>
      <c r="H15" s="177" t="s">
        <v>201</v>
      </c>
      <c r="I15" s="189"/>
      <c r="J15" s="189"/>
      <c r="K15" s="190"/>
      <c r="L15" s="191"/>
      <c r="O15" s="143" t="s">
        <v>202</v>
      </c>
      <c r="P15" s="144" t="str">
        <f>('Scratch Pad'!C$3)</f>
        <v>#REF!</v>
      </c>
      <c r="Q15" s="130"/>
      <c r="R15" s="130"/>
      <c r="S15" s="130"/>
      <c r="T15" s="130" t="str">
        <f>'Scratch Pad'!G13</f>
        <v/>
      </c>
      <c r="U15" s="130" t="str">
        <f t="shared" si="2"/>
        <v/>
      </c>
      <c r="V15" s="153" t="str">
        <f t="shared" si="3"/>
        <v>#NAME?</v>
      </c>
    </row>
    <row r="16" ht="17.25" customHeight="1">
      <c r="A16" s="192" t="b">
        <v>0</v>
      </c>
      <c r="B16" s="184" t="s">
        <v>203</v>
      </c>
      <c r="E16" s="183"/>
      <c r="F16" s="183" t="b">
        <v>0</v>
      </c>
      <c r="G16" s="178"/>
      <c r="H16" s="193" t="s">
        <v>204</v>
      </c>
      <c r="I16" s="194"/>
      <c r="J16" s="194"/>
      <c r="K16" s="195"/>
      <c r="L16" s="196">
        <v>0.0</v>
      </c>
      <c r="O16" s="130"/>
      <c r="P16" s="130"/>
      <c r="Q16" s="130"/>
      <c r="R16" s="130"/>
      <c r="S16" s="130"/>
      <c r="T16" s="130" t="str">
        <f>'Scratch Pad'!G14</f>
        <v/>
      </c>
      <c r="U16" s="130" t="str">
        <f t="shared" si="2"/>
        <v/>
      </c>
      <c r="V16" s="153" t="str">
        <f t="shared" si="3"/>
        <v>#NAME?</v>
      </c>
    </row>
    <row r="17" ht="17.25" customHeight="1">
      <c r="A17" s="188" t="b">
        <v>0</v>
      </c>
      <c r="B17" s="177" t="s">
        <v>205</v>
      </c>
      <c r="E17" s="188"/>
      <c r="F17" s="188" t="b">
        <v>0</v>
      </c>
      <c r="G17" s="197"/>
      <c r="H17" s="198" t="s">
        <v>206</v>
      </c>
      <c r="I17" s="199"/>
      <c r="J17" s="199"/>
      <c r="K17" s="200"/>
      <c r="L17" s="201" t="str">
        <f>if(P31=0,"",P31)</f>
        <v/>
      </c>
      <c r="O17" s="130"/>
      <c r="P17" s="130"/>
      <c r="Q17" s="130"/>
      <c r="R17" s="130"/>
      <c r="S17" s="130"/>
      <c r="T17" s="130" t="str">
        <f>'Scratch Pad'!G15</f>
        <v/>
      </c>
      <c r="U17" s="130" t="str">
        <f t="shared" si="2"/>
        <v/>
      </c>
      <c r="V17" s="153" t="str">
        <f t="shared" si="3"/>
        <v>#NAME?</v>
      </c>
    </row>
    <row r="18" ht="17.25" customHeight="1">
      <c r="A18" s="192" t="b">
        <v>0</v>
      </c>
      <c r="B18" s="184" t="s">
        <v>207</v>
      </c>
      <c r="E18" s="192"/>
      <c r="F18" s="192" t="b">
        <v>0</v>
      </c>
      <c r="G18" s="178"/>
      <c r="H18" s="172" t="s">
        <v>208</v>
      </c>
      <c r="I18" s="172" t="s">
        <v>209</v>
      </c>
      <c r="J18" s="172" t="s">
        <v>210</v>
      </c>
      <c r="K18" s="173" t="s">
        <v>211</v>
      </c>
      <c r="L18" s="174" t="s">
        <v>212</v>
      </c>
      <c r="O18" s="130" t="s">
        <v>213</v>
      </c>
      <c r="P18" s="144">
        <f>countif(A13:A31,TRUE)</f>
        <v>0</v>
      </c>
      <c r="Q18" s="130"/>
      <c r="R18" s="130"/>
      <c r="S18" s="130"/>
      <c r="T18" s="130" t="str">
        <f>'Scratch Pad'!G16</f>
        <v/>
      </c>
      <c r="U18" s="130" t="str">
        <f t="shared" si="2"/>
        <v/>
      </c>
      <c r="V18" s="153" t="str">
        <f t="shared" si="3"/>
        <v>#NAME?</v>
      </c>
    </row>
    <row r="19" ht="17.25" customHeight="1">
      <c r="A19" s="188" t="b">
        <v>0</v>
      </c>
      <c r="B19" s="177" t="s">
        <v>214</v>
      </c>
      <c r="E19" s="188"/>
      <c r="F19" s="188" t="b">
        <v>0</v>
      </c>
      <c r="G19" s="178"/>
      <c r="H19" s="202" t="s">
        <v>215</v>
      </c>
      <c r="I19" s="202"/>
      <c r="J19" s="202"/>
      <c r="K19" s="203"/>
      <c r="L19" s="203"/>
      <c r="O19" s="130" t="s">
        <v>216</v>
      </c>
      <c r="P19" s="144" t="str">
        <f>sum(P11/P15)</f>
        <v>#NAME?</v>
      </c>
      <c r="Q19" s="130"/>
      <c r="R19" s="130"/>
      <c r="S19" s="130"/>
      <c r="T19" s="130" t="str">
        <f>'Scratch Pad'!G17</f>
        <v/>
      </c>
      <c r="U19" s="130" t="str">
        <f t="shared" si="2"/>
        <v/>
      </c>
      <c r="V19" s="153" t="str">
        <f t="shared" si="3"/>
        <v>#NAME?</v>
      </c>
    </row>
    <row r="20" ht="17.25" customHeight="1">
      <c r="A20" s="192" t="b">
        <v>0</v>
      </c>
      <c r="B20" s="184" t="s">
        <v>217</v>
      </c>
      <c r="E20" s="192"/>
      <c r="F20" s="192" t="b">
        <v>0</v>
      </c>
      <c r="G20" s="178"/>
      <c r="H20" s="204" t="s">
        <v>215</v>
      </c>
      <c r="I20" s="204"/>
      <c r="J20" s="204"/>
      <c r="K20" s="205"/>
      <c r="L20" s="205"/>
      <c r="O20" s="130" t="s">
        <v>218</v>
      </c>
      <c r="P20" s="144" t="str">
        <f>sum(P19+P21)</f>
        <v>#NAME?</v>
      </c>
      <c r="Q20" s="130"/>
      <c r="R20" s="130"/>
      <c r="S20" s="130"/>
      <c r="T20" s="130" t="str">
        <f>'Scratch Pad'!G18</f>
        <v/>
      </c>
      <c r="U20" s="130" t="str">
        <f t="shared" si="2"/>
        <v/>
      </c>
      <c r="V20" s="153" t="str">
        <f t="shared" si="3"/>
        <v>#NAME?</v>
      </c>
    </row>
    <row r="21" ht="17.25" customHeight="1">
      <c r="A21" s="188" t="b">
        <v>0</v>
      </c>
      <c r="B21" s="177" t="s">
        <v>219</v>
      </c>
      <c r="E21" s="188"/>
      <c r="F21" s="188" t="b">
        <v>0</v>
      </c>
      <c r="G21" s="178"/>
      <c r="H21" s="206" t="s">
        <v>215</v>
      </c>
      <c r="I21" s="206"/>
      <c r="J21" s="206"/>
      <c r="K21" s="187"/>
      <c r="L21" s="187"/>
      <c r="O21" s="130" t="s">
        <v>220</v>
      </c>
      <c r="P21" s="144">
        <f>if(P5&gt;0,Q5,Q6)</f>
        <v>130</v>
      </c>
      <c r="Q21" s="130"/>
      <c r="R21" s="130"/>
      <c r="S21" s="130"/>
      <c r="T21" s="130" t="str">
        <f>'Scratch Pad'!G19</f>
        <v/>
      </c>
      <c r="U21" s="130" t="str">
        <f t="shared" si="2"/>
        <v/>
      </c>
      <c r="V21" s="153" t="str">
        <f t="shared" si="3"/>
        <v>#NAME?</v>
      </c>
    </row>
    <row r="22" ht="17.25" customHeight="1">
      <c r="A22" s="192" t="b">
        <v>0</v>
      </c>
      <c r="B22" s="184" t="s">
        <v>221</v>
      </c>
      <c r="E22" s="192"/>
      <c r="F22" s="192" t="b">
        <v>0</v>
      </c>
      <c r="G22" s="178"/>
      <c r="H22" s="207" t="s">
        <v>215</v>
      </c>
      <c r="I22" s="207"/>
      <c r="J22" s="207"/>
      <c r="K22" s="201"/>
      <c r="L22" s="201"/>
      <c r="O22" s="143"/>
      <c r="P22" s="130"/>
      <c r="Q22" s="130"/>
      <c r="R22" s="130"/>
      <c r="S22" s="130"/>
      <c r="T22" s="130" t="str">
        <f>'Scratch Pad'!G20</f>
        <v/>
      </c>
      <c r="U22" s="130" t="str">
        <f t="shared" si="2"/>
        <v/>
      </c>
      <c r="V22" s="153" t="str">
        <f t="shared" si="3"/>
        <v>#NAME?</v>
      </c>
    </row>
    <row r="23" ht="17.25" customHeight="1">
      <c r="A23" s="188" t="b">
        <v>0</v>
      </c>
      <c r="B23" s="177" t="s">
        <v>222</v>
      </c>
      <c r="E23" s="188"/>
      <c r="F23" s="188" t="b">
        <v>0</v>
      </c>
      <c r="G23" s="178"/>
      <c r="H23" s="208" t="s">
        <v>223</v>
      </c>
      <c r="L23" s="56"/>
      <c r="O23" s="130"/>
      <c r="P23" s="130"/>
      <c r="Q23" s="130"/>
      <c r="R23" s="130"/>
      <c r="S23" s="130"/>
      <c r="T23" s="130" t="str">
        <f>'Scratch Pad'!G21</f>
        <v/>
      </c>
      <c r="U23" s="130" t="str">
        <f t="shared" si="2"/>
        <v/>
      </c>
      <c r="V23" s="153" t="str">
        <f t="shared" si="3"/>
        <v>#NAME?</v>
      </c>
    </row>
    <row r="24" ht="17.25" customHeight="1">
      <c r="A24" s="192" t="b">
        <v>0</v>
      </c>
      <c r="B24" s="184" t="s">
        <v>224</v>
      </c>
      <c r="E24" s="192"/>
      <c r="F24" s="192" t="b">
        <v>0</v>
      </c>
      <c r="G24" s="178"/>
      <c r="H24" s="209" t="s">
        <v>225</v>
      </c>
      <c r="I24" s="14"/>
      <c r="J24" s="14"/>
      <c r="K24" s="15"/>
      <c r="L24" s="210"/>
      <c r="O24" s="130"/>
      <c r="P24" s="130"/>
      <c r="Q24" s="130"/>
      <c r="R24" s="130"/>
      <c r="S24" s="130"/>
      <c r="T24" s="130" t="str">
        <f>'Scratch Pad'!G22</f>
        <v/>
      </c>
      <c r="U24" s="130" t="str">
        <f t="shared" si="2"/>
        <v/>
      </c>
      <c r="V24" s="153" t="str">
        <f t="shared" si="3"/>
        <v>#NAME?</v>
      </c>
    </row>
    <row r="25" ht="17.25" customHeight="1">
      <c r="A25" s="188" t="b">
        <v>0</v>
      </c>
      <c r="B25" s="177" t="s">
        <v>226</v>
      </c>
      <c r="E25" s="188"/>
      <c r="F25" s="188" t="b">
        <v>0</v>
      </c>
      <c r="G25" s="211"/>
      <c r="H25" s="172" t="s">
        <v>114</v>
      </c>
      <c r="L25" s="56"/>
      <c r="O25" s="212" t="s">
        <v>196</v>
      </c>
      <c r="P25" s="130"/>
      <c r="Q25" s="130"/>
      <c r="R25" s="130"/>
      <c r="S25" s="130"/>
      <c r="T25" s="130" t="str">
        <f>'Scratch Pad'!G23</f>
        <v/>
      </c>
      <c r="U25" s="130" t="str">
        <f t="shared" si="2"/>
        <v/>
      </c>
      <c r="V25" s="153" t="str">
        <f t="shared" si="3"/>
        <v>#NAME?</v>
      </c>
    </row>
    <row r="26" ht="17.25" customHeight="1">
      <c r="A26" s="192" t="b">
        <v>0</v>
      </c>
      <c r="B26" s="184" t="s">
        <v>227</v>
      </c>
      <c r="E26" s="192"/>
      <c r="F26" s="192" t="b">
        <v>0</v>
      </c>
      <c r="G26" s="211"/>
      <c r="H26" s="213" t="s">
        <v>228</v>
      </c>
      <c r="I26" s="68"/>
      <c r="J26" s="68"/>
      <c r="K26" s="68"/>
      <c r="L26" s="214"/>
      <c r="O26" s="212"/>
      <c r="P26" s="130"/>
      <c r="Q26" s="130"/>
      <c r="R26" s="130"/>
      <c r="S26" s="130"/>
      <c r="T26" s="130"/>
      <c r="U26" s="130"/>
      <c r="V26" s="153"/>
    </row>
    <row r="27" ht="17.25" customHeight="1">
      <c r="A27" s="188" t="b">
        <v>0</v>
      </c>
      <c r="B27" s="177" t="s">
        <v>229</v>
      </c>
      <c r="E27" s="188"/>
      <c r="F27" s="176" t="b">
        <v>0</v>
      </c>
      <c r="G27" s="215"/>
      <c r="H27" s="177" t="s">
        <v>230</v>
      </c>
      <c r="K27" s="56"/>
      <c r="L27" s="205"/>
      <c r="O27" s="212" t="s">
        <v>198</v>
      </c>
      <c r="P27" s="212">
        <f>sum(L13)</f>
        <v>0</v>
      </c>
      <c r="Q27" s="130"/>
      <c r="R27" s="130"/>
      <c r="S27" s="130"/>
      <c r="T27" s="130" t="str">
        <f>'Scratch Pad'!G24</f>
        <v/>
      </c>
      <c r="U27" s="130" t="str">
        <f t="shared" ref="U27:U32" si="4">IF(EQ(T27, ""), "", INDIRECT(T27&amp;"!E3"))</f>
        <v/>
      </c>
      <c r="V27" s="153" t="str">
        <f t="shared" ref="V27:V32" si="5">if(AND(NE(T27, ""), EQ($C$3, U27)), INDIRECT(T27&amp;"!P9"), 0)</f>
        <v>#NAME?</v>
      </c>
    </row>
    <row r="28" ht="17.25" customHeight="1">
      <c r="A28" s="192" t="b">
        <v>0</v>
      </c>
      <c r="B28" s="184" t="s">
        <v>231</v>
      </c>
      <c r="E28" s="192"/>
      <c r="F28" s="192" t="b">
        <v>0</v>
      </c>
      <c r="G28" s="215"/>
      <c r="H28" s="184" t="s">
        <v>228</v>
      </c>
      <c r="K28" s="56"/>
      <c r="L28" s="216"/>
      <c r="O28" s="212" t="s">
        <v>232</v>
      </c>
      <c r="P28" s="130">
        <f>if(Q28&gt;0,S28,Q28)</f>
        <v>0</v>
      </c>
      <c r="Q28" s="130">
        <f>if(L14&lt;26,0,1)</f>
        <v>0</v>
      </c>
      <c r="R28" s="217">
        <f>sum(L14/50)</f>
        <v>0</v>
      </c>
      <c r="S28" s="130">
        <f>roundup(R28,0)</f>
        <v>0</v>
      </c>
      <c r="T28" s="130" t="str">
        <f>'Scratch Pad'!G25</f>
        <v/>
      </c>
      <c r="U28" s="130" t="str">
        <f t="shared" si="4"/>
        <v/>
      </c>
      <c r="V28" s="153" t="str">
        <f t="shared" si="5"/>
        <v>#NAME?</v>
      </c>
    </row>
    <row r="29" ht="17.25" customHeight="1">
      <c r="A29" s="188" t="b">
        <v>0</v>
      </c>
      <c r="B29" s="177" t="s">
        <v>233</v>
      </c>
      <c r="E29" s="188"/>
      <c r="F29" s="188" t="b">
        <v>0</v>
      </c>
      <c r="G29" s="215"/>
      <c r="H29" s="177" t="s">
        <v>234</v>
      </c>
      <c r="K29" s="56"/>
      <c r="L29" s="205"/>
      <c r="O29" s="212" t="s">
        <v>235</v>
      </c>
      <c r="P29" s="130">
        <f>roundup(Q29,0)</f>
        <v>0</v>
      </c>
      <c r="Q29" s="130">
        <f>sum(L15/100)</f>
        <v>0</v>
      </c>
      <c r="R29" s="130"/>
      <c r="S29" s="130"/>
      <c r="T29" s="130" t="str">
        <f>'Scratch Pad'!G26</f>
        <v/>
      </c>
      <c r="U29" s="130" t="str">
        <f t="shared" si="4"/>
        <v/>
      </c>
      <c r="V29" s="153" t="str">
        <f t="shared" si="5"/>
        <v>#NAME?</v>
      </c>
    </row>
    <row r="30" ht="17.25" customHeight="1">
      <c r="A30" s="192" t="b">
        <v>0</v>
      </c>
      <c r="B30" s="184" t="s">
        <v>236</v>
      </c>
      <c r="E30" s="192"/>
      <c r="F30" s="192" t="b">
        <v>0</v>
      </c>
      <c r="G30" s="215"/>
      <c r="H30" s="184" t="s">
        <v>237</v>
      </c>
      <c r="K30" s="56"/>
      <c r="L30" s="216"/>
      <c r="O30" s="212" t="s">
        <v>238</v>
      </c>
      <c r="P30" s="130">
        <f>sum(L16)</f>
        <v>0</v>
      </c>
      <c r="Q30" s="130"/>
      <c r="R30" s="130"/>
      <c r="S30" s="130"/>
      <c r="T30" s="130" t="str">
        <f>'Scratch Pad'!G27</f>
        <v/>
      </c>
      <c r="U30" s="130" t="str">
        <f t="shared" si="4"/>
        <v/>
      </c>
      <c r="V30" s="153" t="str">
        <f t="shared" si="5"/>
        <v>#NAME?</v>
      </c>
    </row>
    <row r="31" ht="17.25" customHeight="1">
      <c r="A31" s="188" t="b">
        <v>0</v>
      </c>
      <c r="B31" s="177" t="s">
        <v>239</v>
      </c>
      <c r="E31" s="191"/>
      <c r="F31" s="176" t="b">
        <v>0</v>
      </c>
      <c r="G31" s="211"/>
      <c r="H31" s="177" t="s">
        <v>240</v>
      </c>
      <c r="K31" s="56"/>
      <c r="L31" s="205"/>
      <c r="O31" s="212" t="s">
        <v>241</v>
      </c>
      <c r="P31" s="130">
        <f>sum(P27:P30)</f>
        <v>0</v>
      </c>
      <c r="Q31" s="130"/>
      <c r="R31" s="130"/>
      <c r="S31" s="130"/>
      <c r="T31" s="130" t="str">
        <f>'Scratch Pad'!G28</f>
        <v/>
      </c>
      <c r="U31" s="130" t="str">
        <f t="shared" si="4"/>
        <v/>
      </c>
      <c r="V31" s="153" t="str">
        <f t="shared" si="5"/>
        <v>#NAME?</v>
      </c>
    </row>
    <row r="32" ht="17.25" customHeight="1">
      <c r="A32" s="218" t="b">
        <v>0</v>
      </c>
      <c r="B32" s="185" t="s">
        <v>114</v>
      </c>
      <c r="E32" s="216"/>
      <c r="F32" s="218" t="b">
        <v>0</v>
      </c>
      <c r="G32" s="219"/>
      <c r="H32" s="184" t="s">
        <v>242</v>
      </c>
      <c r="L32" s="216"/>
      <c r="O32" s="130"/>
      <c r="P32" s="130"/>
      <c r="Q32" s="130"/>
      <c r="R32" s="130"/>
      <c r="S32" s="130"/>
      <c r="T32" s="130" t="str">
        <f>'Scratch Pad'!G29</f>
        <v/>
      </c>
      <c r="U32" s="130" t="str">
        <f t="shared" si="4"/>
        <v/>
      </c>
      <c r="V32" s="153" t="str">
        <f t="shared" si="5"/>
        <v>#NAME?</v>
      </c>
    </row>
    <row r="33" ht="17.25" customHeight="1">
      <c r="A33" s="220" t="b">
        <v>0</v>
      </c>
      <c r="B33" s="189" t="s">
        <v>114</v>
      </c>
      <c r="E33" s="191"/>
      <c r="F33" s="190" t="b">
        <v>0</v>
      </c>
      <c r="G33" s="172"/>
      <c r="H33" s="177" t="s">
        <v>243</v>
      </c>
      <c r="K33" s="56"/>
      <c r="L33" s="205">
        <f>if(P18&gt;0,D4*F4,0)</f>
        <v>0</v>
      </c>
      <c r="O33" s="130"/>
      <c r="P33" s="130"/>
      <c r="Q33" s="130"/>
      <c r="R33" s="130"/>
      <c r="S33" s="130"/>
      <c r="T33" s="130"/>
      <c r="U33" s="130"/>
      <c r="V33" s="153"/>
    </row>
    <row r="34" ht="17.25" customHeight="1">
      <c r="A34" s="218" t="b">
        <v>0</v>
      </c>
      <c r="B34" s="185" t="s">
        <v>114</v>
      </c>
      <c r="E34" s="216"/>
      <c r="F34" s="218" t="b">
        <v>0</v>
      </c>
      <c r="G34" s="172"/>
      <c r="H34" s="172" t="s">
        <v>244</v>
      </c>
      <c r="I34" s="172"/>
      <c r="J34" s="172"/>
      <c r="K34" s="172"/>
      <c r="L34" s="221"/>
      <c r="O34" s="130"/>
      <c r="P34" s="130"/>
      <c r="Q34" s="130"/>
      <c r="R34" s="130"/>
      <c r="S34" s="130"/>
      <c r="T34" s="130"/>
      <c r="U34" s="130"/>
      <c r="V34" s="153"/>
    </row>
    <row r="35" ht="17.25" customHeight="1">
      <c r="A35" s="220" t="b">
        <v>0</v>
      </c>
      <c r="B35" s="189" t="s">
        <v>114</v>
      </c>
      <c r="E35" s="191"/>
      <c r="F35" s="190" t="b">
        <v>0</v>
      </c>
      <c r="G35" s="172"/>
      <c r="H35" s="222"/>
      <c r="L35" s="56"/>
      <c r="O35" s="130"/>
      <c r="P35" s="130"/>
      <c r="Q35" s="130"/>
      <c r="R35" s="130"/>
      <c r="S35" s="130"/>
      <c r="T35" s="130"/>
      <c r="U35" s="130"/>
      <c r="V35" s="153"/>
    </row>
    <row r="36" ht="17.25" customHeight="1">
      <c r="A36" s="223" t="b">
        <v>0</v>
      </c>
      <c r="B36" s="224" t="s">
        <v>114</v>
      </c>
      <c r="C36" s="96"/>
      <c r="D36" s="96"/>
      <c r="E36" s="225"/>
      <c r="F36" s="223" t="b">
        <v>0</v>
      </c>
      <c r="G36" s="172"/>
      <c r="L36" s="56"/>
      <c r="O36" s="130"/>
      <c r="P36" s="130"/>
      <c r="Q36" s="130"/>
      <c r="R36" s="130"/>
      <c r="S36" s="130"/>
      <c r="T36" s="130"/>
      <c r="U36" s="130"/>
      <c r="V36" s="153"/>
    </row>
    <row r="37" ht="17.25" customHeight="1">
      <c r="A37" s="95" t="s">
        <v>75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226"/>
      <c r="O37" s="130"/>
      <c r="P37" s="130"/>
      <c r="Q37" s="130"/>
      <c r="R37" s="130"/>
      <c r="S37" s="130"/>
      <c r="T37" s="130" t="str">
        <f>'Scratch Pad'!G30</f>
        <v/>
      </c>
      <c r="U37" s="130" t="str">
        <f t="shared" ref="U37:U38" si="6">IF(EQ(T37, ""), "", INDIRECT(T37&amp;"!E3"))</f>
        <v/>
      </c>
      <c r="V37" s="153" t="str">
        <f t="shared" ref="V37:V214" si="7">if(AND(NE(T37, ""), EQ($C$3, U37)), INDIRECT(T37&amp;"!P9"), 0)</f>
        <v>#NAME?</v>
      </c>
    </row>
    <row r="38" ht="17.25" customHeight="1">
      <c r="A38" s="227"/>
      <c r="L38" s="56"/>
      <c r="O38" s="130"/>
      <c r="P38" s="130"/>
      <c r="Q38" s="130"/>
      <c r="R38" s="130"/>
      <c r="S38" s="130"/>
      <c r="T38" s="130" t="str">
        <f>'Scratch Pad'!G31</f>
        <v/>
      </c>
      <c r="U38" s="130" t="str">
        <f t="shared" si="6"/>
        <v/>
      </c>
      <c r="V38" s="153" t="str">
        <f t="shared" si="7"/>
        <v>#NAME?</v>
      </c>
    </row>
    <row r="39" ht="17.25" customHeight="1">
      <c r="A39" s="100"/>
      <c r="L39" s="56"/>
      <c r="O39" s="130"/>
      <c r="P39" s="130"/>
      <c r="Q39" s="130"/>
      <c r="R39" s="130"/>
      <c r="S39" s="130"/>
      <c r="T39" s="130"/>
      <c r="U39" s="130"/>
      <c r="V39" s="153" t="str">
        <f t="shared" si="7"/>
        <v>#NAME?</v>
      </c>
    </row>
    <row r="40" ht="17.25" customHeight="1">
      <c r="A40" s="100"/>
      <c r="L40" s="56"/>
      <c r="O40" s="130"/>
      <c r="P40" s="130"/>
      <c r="Q40" s="130"/>
      <c r="R40" s="130"/>
      <c r="S40" s="130"/>
      <c r="T40" s="130"/>
      <c r="U40" s="130"/>
      <c r="V40" s="153" t="str">
        <f t="shared" si="7"/>
        <v>#NAME?</v>
      </c>
    </row>
    <row r="41" ht="17.25" customHeight="1">
      <c r="A41" s="228" t="s">
        <v>245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99"/>
      <c r="O41" s="130"/>
      <c r="P41" s="130"/>
      <c r="Q41" s="130"/>
      <c r="R41" s="130"/>
      <c r="S41" s="130"/>
      <c r="T41" s="130"/>
      <c r="U41" s="130"/>
      <c r="V41" s="153" t="str">
        <f t="shared" si="7"/>
        <v>#NAME?</v>
      </c>
    </row>
    <row r="42" ht="17.25" customHeight="1">
      <c r="L42" s="56"/>
      <c r="O42" s="130"/>
      <c r="P42" s="130"/>
      <c r="Q42" s="130"/>
      <c r="R42" s="130"/>
      <c r="S42" s="130"/>
      <c r="T42" s="130" t="str">
        <f>'Scratch Pad'!G32</f>
        <v/>
      </c>
      <c r="U42" s="130" t="str">
        <f t="shared" ref="U42:U214" si="8">IF(EQ(T42, ""), "", INDIRECT(T42&amp;"!E3"))</f>
        <v/>
      </c>
      <c r="V42" s="153" t="str">
        <f t="shared" si="7"/>
        <v>#NAME?</v>
      </c>
    </row>
    <row r="43" ht="12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7"/>
      <c r="O43" s="130"/>
      <c r="P43" s="130"/>
      <c r="Q43" s="130"/>
      <c r="R43" s="130"/>
      <c r="S43" s="130"/>
      <c r="T43" s="130" t="str">
        <f>'Scratch Pad'!G33</f>
        <v/>
      </c>
      <c r="U43" s="130" t="str">
        <f t="shared" si="8"/>
        <v/>
      </c>
      <c r="V43" s="153" t="str">
        <f t="shared" si="7"/>
        <v>#NAME?</v>
      </c>
    </row>
    <row r="44" ht="12.75" customHeight="1">
      <c r="O44" s="130"/>
      <c r="P44" s="130"/>
      <c r="Q44" s="130"/>
      <c r="R44" s="130"/>
      <c r="S44" s="130"/>
      <c r="T44" s="130" t="str">
        <f>'Scratch Pad'!G34</f>
        <v/>
      </c>
      <c r="U44" s="130" t="str">
        <f t="shared" si="8"/>
        <v/>
      </c>
      <c r="V44" s="153" t="str">
        <f t="shared" si="7"/>
        <v>#NAME?</v>
      </c>
    </row>
    <row r="45" ht="12.75" customHeight="1">
      <c r="O45" s="130"/>
      <c r="P45" s="130"/>
      <c r="Q45" s="130"/>
      <c r="R45" s="130"/>
      <c r="S45" s="130"/>
      <c r="T45" s="130" t="str">
        <f>'Scratch Pad'!G35</f>
        <v/>
      </c>
      <c r="U45" s="130" t="str">
        <f t="shared" si="8"/>
        <v/>
      </c>
      <c r="V45" s="153" t="str">
        <f t="shared" si="7"/>
        <v>#NAME?</v>
      </c>
    </row>
    <row r="46" ht="12.75" customHeight="1">
      <c r="O46" s="130"/>
      <c r="P46" s="130"/>
      <c r="Q46" s="130"/>
      <c r="R46" s="130"/>
      <c r="S46" s="130"/>
      <c r="T46" s="130" t="str">
        <f>'Scratch Pad'!G36</f>
        <v/>
      </c>
      <c r="U46" s="130" t="str">
        <f t="shared" si="8"/>
        <v/>
      </c>
      <c r="V46" s="153" t="str">
        <f t="shared" si="7"/>
        <v>#NAME?</v>
      </c>
    </row>
    <row r="47" ht="12.75" customHeight="1">
      <c r="O47" s="130"/>
      <c r="P47" s="130"/>
      <c r="Q47" s="130"/>
      <c r="R47" s="130"/>
      <c r="S47" s="130"/>
      <c r="T47" s="130" t="str">
        <f>'Scratch Pad'!G37</f>
        <v/>
      </c>
      <c r="U47" s="130" t="str">
        <f t="shared" si="8"/>
        <v/>
      </c>
      <c r="V47" s="153" t="str">
        <f t="shared" si="7"/>
        <v>#NAME?</v>
      </c>
    </row>
    <row r="48" ht="12.75" customHeight="1">
      <c r="O48" s="130"/>
      <c r="P48" s="130"/>
      <c r="Q48" s="130"/>
      <c r="R48" s="130"/>
      <c r="S48" s="130"/>
      <c r="T48" s="130" t="str">
        <f>'Scratch Pad'!G38</f>
        <v/>
      </c>
      <c r="U48" s="130" t="str">
        <f t="shared" si="8"/>
        <v/>
      </c>
      <c r="V48" s="153" t="str">
        <f t="shared" si="7"/>
        <v>#NAME?</v>
      </c>
    </row>
    <row r="49" ht="12.75" customHeight="1">
      <c r="O49" s="130"/>
      <c r="P49" s="130"/>
      <c r="Q49" s="130"/>
      <c r="R49" s="130"/>
      <c r="S49" s="130"/>
      <c r="T49" s="130" t="str">
        <f>'Scratch Pad'!G39</f>
        <v/>
      </c>
      <c r="U49" s="130" t="str">
        <f t="shared" si="8"/>
        <v/>
      </c>
      <c r="V49" s="153" t="str">
        <f t="shared" si="7"/>
        <v>#NAME?</v>
      </c>
    </row>
    <row r="50" ht="12.75" customHeight="1">
      <c r="O50" s="130"/>
      <c r="P50" s="130"/>
      <c r="Q50" s="130"/>
      <c r="R50" s="130"/>
      <c r="S50" s="130"/>
      <c r="T50" s="130" t="str">
        <f>'Scratch Pad'!G40</f>
        <v/>
      </c>
      <c r="U50" s="130" t="str">
        <f t="shared" si="8"/>
        <v/>
      </c>
      <c r="V50" s="153" t="str">
        <f t="shared" si="7"/>
        <v>#NAME?</v>
      </c>
    </row>
    <row r="51" ht="12.75" customHeight="1">
      <c r="O51" s="130"/>
      <c r="P51" s="130"/>
      <c r="Q51" s="130"/>
      <c r="R51" s="130"/>
      <c r="S51" s="130"/>
      <c r="T51" s="130" t="str">
        <f>'Scratch Pad'!G41</f>
        <v/>
      </c>
      <c r="U51" s="130" t="str">
        <f t="shared" si="8"/>
        <v/>
      </c>
      <c r="V51" s="153" t="str">
        <f t="shared" si="7"/>
        <v>#NAME?</v>
      </c>
    </row>
    <row r="52" ht="12.75" customHeight="1">
      <c r="O52" s="130"/>
      <c r="P52" s="130"/>
      <c r="Q52" s="130"/>
      <c r="R52" s="130"/>
      <c r="S52" s="130"/>
      <c r="T52" s="130" t="str">
        <f>'Scratch Pad'!G42</f>
        <v/>
      </c>
      <c r="U52" s="130" t="str">
        <f t="shared" si="8"/>
        <v/>
      </c>
      <c r="V52" s="153" t="str">
        <f t="shared" si="7"/>
        <v>#NAME?</v>
      </c>
    </row>
    <row r="53" ht="12.75" customHeight="1">
      <c r="O53" s="130"/>
      <c r="P53" s="130"/>
      <c r="Q53" s="130"/>
      <c r="R53" s="130"/>
      <c r="S53" s="130"/>
      <c r="T53" s="130" t="str">
        <f>'Scratch Pad'!G43</f>
        <v/>
      </c>
      <c r="U53" s="130" t="str">
        <f t="shared" si="8"/>
        <v/>
      </c>
      <c r="V53" s="153" t="str">
        <f t="shared" si="7"/>
        <v>#NAME?</v>
      </c>
    </row>
    <row r="54" ht="12.75" customHeight="1">
      <c r="O54" s="130"/>
      <c r="P54" s="130"/>
      <c r="Q54" s="130"/>
      <c r="R54" s="130"/>
      <c r="S54" s="130"/>
      <c r="T54" s="130" t="str">
        <f>'Scratch Pad'!G44</f>
        <v/>
      </c>
      <c r="U54" s="130" t="str">
        <f t="shared" si="8"/>
        <v/>
      </c>
      <c r="V54" s="153" t="str">
        <f t="shared" si="7"/>
        <v>#NAME?</v>
      </c>
    </row>
    <row r="55" ht="12.75" customHeight="1">
      <c r="O55" s="130"/>
      <c r="P55" s="130"/>
      <c r="Q55" s="130"/>
      <c r="R55" s="130"/>
      <c r="S55" s="130"/>
      <c r="T55" s="130" t="str">
        <f>'Scratch Pad'!G45</f>
        <v/>
      </c>
      <c r="U55" s="130" t="str">
        <f t="shared" si="8"/>
        <v/>
      </c>
      <c r="V55" s="153" t="str">
        <f t="shared" si="7"/>
        <v>#NAME?</v>
      </c>
    </row>
    <row r="56" ht="12.75" customHeight="1">
      <c r="O56" s="130"/>
      <c r="P56" s="130"/>
      <c r="Q56" s="130"/>
      <c r="R56" s="130"/>
      <c r="S56" s="130"/>
      <c r="T56" s="130" t="str">
        <f>'Scratch Pad'!G46</f>
        <v/>
      </c>
      <c r="U56" s="130" t="str">
        <f t="shared" si="8"/>
        <v/>
      </c>
      <c r="V56" s="153" t="str">
        <f t="shared" si="7"/>
        <v>#NAME?</v>
      </c>
    </row>
    <row r="57" ht="12.75" customHeight="1">
      <c r="O57" s="130"/>
      <c r="P57" s="130"/>
      <c r="Q57" s="130"/>
      <c r="R57" s="130"/>
      <c r="S57" s="130"/>
      <c r="T57" s="130" t="str">
        <f>'Scratch Pad'!G47</f>
        <v/>
      </c>
      <c r="U57" s="130" t="str">
        <f t="shared" si="8"/>
        <v/>
      </c>
      <c r="V57" s="153" t="str">
        <f t="shared" si="7"/>
        <v>#NAME?</v>
      </c>
    </row>
    <row r="58" ht="12.75" customHeight="1">
      <c r="O58" s="130"/>
      <c r="P58" s="130"/>
      <c r="Q58" s="130"/>
      <c r="R58" s="130"/>
      <c r="S58" s="130"/>
      <c r="T58" s="130" t="str">
        <f>'Scratch Pad'!G48</f>
        <v/>
      </c>
      <c r="U58" s="130" t="str">
        <f t="shared" si="8"/>
        <v/>
      </c>
      <c r="V58" s="153" t="str">
        <f t="shared" si="7"/>
        <v>#NAME?</v>
      </c>
    </row>
    <row r="59" ht="12.75" customHeight="1">
      <c r="O59" s="130"/>
      <c r="P59" s="130"/>
      <c r="Q59" s="130"/>
      <c r="R59" s="130"/>
      <c r="S59" s="130"/>
      <c r="T59" s="130" t="str">
        <f>'Scratch Pad'!G49</f>
        <v/>
      </c>
      <c r="U59" s="130" t="str">
        <f t="shared" si="8"/>
        <v/>
      </c>
      <c r="V59" s="153" t="str">
        <f t="shared" si="7"/>
        <v>#NAME?</v>
      </c>
    </row>
    <row r="60" ht="12.75" customHeight="1">
      <c r="O60" s="130"/>
      <c r="P60" s="130"/>
      <c r="Q60" s="130"/>
      <c r="R60" s="130"/>
      <c r="S60" s="130"/>
      <c r="T60" s="130" t="str">
        <f>'Scratch Pad'!G50</f>
        <v/>
      </c>
      <c r="U60" s="130" t="str">
        <f t="shared" si="8"/>
        <v/>
      </c>
      <c r="V60" s="153" t="str">
        <f t="shared" si="7"/>
        <v>#NAME?</v>
      </c>
    </row>
    <row r="61" ht="12.75" customHeight="1">
      <c r="O61" s="130"/>
      <c r="P61" s="130"/>
      <c r="Q61" s="130"/>
      <c r="R61" s="130"/>
      <c r="S61" s="130"/>
      <c r="T61" s="130" t="str">
        <f>'Scratch Pad'!G51</f>
        <v/>
      </c>
      <c r="U61" s="130" t="str">
        <f t="shared" si="8"/>
        <v/>
      </c>
      <c r="V61" s="153" t="str">
        <f t="shared" si="7"/>
        <v>#NAME?</v>
      </c>
    </row>
    <row r="62" ht="15.75" customHeight="1">
      <c r="O62" s="130"/>
      <c r="P62" s="130"/>
      <c r="Q62" s="130"/>
      <c r="R62" s="130"/>
      <c r="S62" s="130"/>
      <c r="T62" s="130" t="str">
        <f>'Scratch Pad'!G52</f>
        <v/>
      </c>
      <c r="U62" s="130" t="str">
        <f t="shared" si="8"/>
        <v/>
      </c>
      <c r="V62" s="153" t="str">
        <f t="shared" si="7"/>
        <v>#NAME?</v>
      </c>
    </row>
    <row r="63" ht="15.75" customHeight="1">
      <c r="O63" s="130"/>
      <c r="P63" s="130"/>
      <c r="Q63" s="130"/>
      <c r="R63" s="130"/>
      <c r="S63" s="130"/>
      <c r="T63" s="130" t="str">
        <f>'Scratch Pad'!G53</f>
        <v/>
      </c>
      <c r="U63" s="130" t="str">
        <f t="shared" si="8"/>
        <v/>
      </c>
      <c r="V63" s="153" t="str">
        <f t="shared" si="7"/>
        <v>#NAME?</v>
      </c>
    </row>
    <row r="64" ht="15.75" customHeight="1">
      <c r="O64" s="130"/>
      <c r="P64" s="130"/>
      <c r="Q64" s="130"/>
      <c r="R64" s="130"/>
      <c r="S64" s="130"/>
      <c r="T64" s="130" t="str">
        <f>'Scratch Pad'!G54</f>
        <v/>
      </c>
      <c r="U64" s="130" t="str">
        <f t="shared" si="8"/>
        <v/>
      </c>
      <c r="V64" s="153" t="str">
        <f t="shared" si="7"/>
        <v>#NAME?</v>
      </c>
    </row>
    <row r="65" ht="15.75" customHeight="1">
      <c r="O65" s="130"/>
      <c r="P65" s="130"/>
      <c r="Q65" s="130"/>
      <c r="R65" s="130"/>
      <c r="S65" s="130"/>
      <c r="T65" s="130" t="str">
        <f>'Scratch Pad'!G55</f>
        <v/>
      </c>
      <c r="U65" s="130" t="str">
        <f t="shared" si="8"/>
        <v/>
      </c>
      <c r="V65" s="153" t="str">
        <f t="shared" si="7"/>
        <v>#NAME?</v>
      </c>
    </row>
    <row r="66" ht="15.75" customHeight="1">
      <c r="O66" s="130"/>
      <c r="P66" s="130"/>
      <c r="Q66" s="130"/>
      <c r="R66" s="130"/>
      <c r="S66" s="130"/>
      <c r="T66" s="130" t="str">
        <f>'Scratch Pad'!G56</f>
        <v/>
      </c>
      <c r="U66" s="130" t="str">
        <f t="shared" si="8"/>
        <v/>
      </c>
      <c r="V66" s="153" t="str">
        <f t="shared" si="7"/>
        <v>#NAME?</v>
      </c>
    </row>
    <row r="67" ht="15.75" customHeight="1">
      <c r="O67" s="130"/>
      <c r="P67" s="130"/>
      <c r="Q67" s="130"/>
      <c r="R67" s="130"/>
      <c r="S67" s="130"/>
      <c r="T67" s="130" t="str">
        <f>'Scratch Pad'!G57</f>
        <v/>
      </c>
      <c r="U67" s="130" t="str">
        <f t="shared" si="8"/>
        <v/>
      </c>
      <c r="V67" s="153" t="str">
        <f t="shared" si="7"/>
        <v>#NAME?</v>
      </c>
    </row>
    <row r="68" ht="15.75" customHeight="1">
      <c r="O68" s="130"/>
      <c r="P68" s="130"/>
      <c r="Q68" s="130"/>
      <c r="R68" s="130"/>
      <c r="S68" s="130"/>
      <c r="T68" s="130" t="str">
        <f>'Scratch Pad'!G58</f>
        <v/>
      </c>
      <c r="U68" s="130" t="str">
        <f t="shared" si="8"/>
        <v/>
      </c>
      <c r="V68" s="153" t="str">
        <f t="shared" si="7"/>
        <v>#NAME?</v>
      </c>
    </row>
    <row r="69" ht="15.75" customHeight="1">
      <c r="O69" s="130"/>
      <c r="P69" s="130"/>
      <c r="Q69" s="130"/>
      <c r="R69" s="130"/>
      <c r="S69" s="130"/>
      <c r="T69" s="130" t="str">
        <f>'Scratch Pad'!G59</f>
        <v/>
      </c>
      <c r="U69" s="130" t="str">
        <f t="shared" si="8"/>
        <v/>
      </c>
      <c r="V69" s="153" t="str">
        <f t="shared" si="7"/>
        <v>#NAME?</v>
      </c>
    </row>
    <row r="70" ht="15.75" customHeight="1">
      <c r="O70" s="130"/>
      <c r="P70" s="130"/>
      <c r="Q70" s="130"/>
      <c r="R70" s="130"/>
      <c r="S70" s="130"/>
      <c r="T70" s="130" t="str">
        <f>'Scratch Pad'!G60</f>
        <v/>
      </c>
      <c r="U70" s="130" t="str">
        <f t="shared" si="8"/>
        <v/>
      </c>
      <c r="V70" s="153" t="str">
        <f t="shared" si="7"/>
        <v>#NAME?</v>
      </c>
    </row>
    <row r="71" ht="15.75" customHeight="1">
      <c r="O71" s="130"/>
      <c r="P71" s="130"/>
      <c r="Q71" s="130"/>
      <c r="R71" s="130"/>
      <c r="S71" s="130"/>
      <c r="T71" s="130" t="str">
        <f>'Scratch Pad'!G61</f>
        <v/>
      </c>
      <c r="U71" s="130" t="str">
        <f t="shared" si="8"/>
        <v/>
      </c>
      <c r="V71" s="153" t="str">
        <f t="shared" si="7"/>
        <v>#NAME?</v>
      </c>
    </row>
    <row r="72" ht="15.75" customHeight="1">
      <c r="O72" s="130"/>
      <c r="P72" s="130"/>
      <c r="Q72" s="130"/>
      <c r="R72" s="130"/>
      <c r="S72" s="130"/>
      <c r="T72" s="130" t="str">
        <f>'Scratch Pad'!G62</f>
        <v/>
      </c>
      <c r="U72" s="130" t="str">
        <f t="shared" si="8"/>
        <v/>
      </c>
      <c r="V72" s="153" t="str">
        <f t="shared" si="7"/>
        <v>#NAME?</v>
      </c>
    </row>
    <row r="73" ht="15.75" customHeight="1">
      <c r="O73" s="130"/>
      <c r="P73" s="130"/>
      <c r="Q73" s="130"/>
      <c r="R73" s="130"/>
      <c r="S73" s="130"/>
      <c r="T73" s="130" t="str">
        <f>'Scratch Pad'!G63</f>
        <v/>
      </c>
      <c r="U73" s="130" t="str">
        <f t="shared" si="8"/>
        <v/>
      </c>
      <c r="V73" s="153" t="str">
        <f t="shared" si="7"/>
        <v>#NAME?</v>
      </c>
    </row>
    <row r="74" ht="15.75" customHeight="1">
      <c r="O74" s="130"/>
      <c r="P74" s="130"/>
      <c r="Q74" s="130"/>
      <c r="R74" s="130"/>
      <c r="S74" s="130"/>
      <c r="T74" s="130" t="str">
        <f>'Scratch Pad'!G64</f>
        <v/>
      </c>
      <c r="U74" s="130" t="str">
        <f t="shared" si="8"/>
        <v/>
      </c>
      <c r="V74" s="153" t="str">
        <f t="shared" si="7"/>
        <v>#NAME?</v>
      </c>
    </row>
    <row r="75" ht="15.75" customHeight="1">
      <c r="O75" s="130"/>
      <c r="P75" s="130"/>
      <c r="Q75" s="130"/>
      <c r="R75" s="130"/>
      <c r="S75" s="130"/>
      <c r="T75" s="130" t="str">
        <f>'Scratch Pad'!G65</f>
        <v/>
      </c>
      <c r="U75" s="130" t="str">
        <f t="shared" si="8"/>
        <v/>
      </c>
      <c r="V75" s="153" t="str">
        <f t="shared" si="7"/>
        <v>#NAME?</v>
      </c>
    </row>
    <row r="76" ht="15.75" customHeight="1">
      <c r="O76" s="130"/>
      <c r="P76" s="130"/>
      <c r="Q76" s="130"/>
      <c r="R76" s="130"/>
      <c r="S76" s="130"/>
      <c r="T76" s="130" t="str">
        <f>'Scratch Pad'!G66</f>
        <v/>
      </c>
      <c r="U76" s="130" t="str">
        <f t="shared" si="8"/>
        <v/>
      </c>
      <c r="V76" s="153" t="str">
        <f t="shared" si="7"/>
        <v>#NAME?</v>
      </c>
    </row>
    <row r="77" ht="15.75" customHeight="1">
      <c r="O77" s="130"/>
      <c r="P77" s="130"/>
      <c r="Q77" s="130"/>
      <c r="R77" s="130"/>
      <c r="S77" s="130"/>
      <c r="T77" s="130" t="str">
        <f>'Scratch Pad'!G67</f>
        <v/>
      </c>
      <c r="U77" s="130" t="str">
        <f t="shared" si="8"/>
        <v/>
      </c>
      <c r="V77" s="153" t="str">
        <f t="shared" si="7"/>
        <v>#NAME?</v>
      </c>
    </row>
    <row r="78" ht="15.75" customHeight="1">
      <c r="O78" s="130"/>
      <c r="P78" s="130"/>
      <c r="Q78" s="130"/>
      <c r="R78" s="130"/>
      <c r="S78" s="130"/>
      <c r="T78" s="130" t="str">
        <f>'Scratch Pad'!G68</f>
        <v/>
      </c>
      <c r="U78" s="130" t="str">
        <f t="shared" si="8"/>
        <v/>
      </c>
      <c r="V78" s="153" t="str">
        <f t="shared" si="7"/>
        <v>#NAME?</v>
      </c>
    </row>
    <row r="79" ht="15.75" customHeight="1">
      <c r="O79" s="130"/>
      <c r="P79" s="130"/>
      <c r="Q79" s="130"/>
      <c r="R79" s="130"/>
      <c r="S79" s="130"/>
      <c r="T79" s="130" t="str">
        <f>'Scratch Pad'!G69</f>
        <v/>
      </c>
      <c r="U79" s="130" t="str">
        <f t="shared" si="8"/>
        <v/>
      </c>
      <c r="V79" s="153" t="str">
        <f t="shared" si="7"/>
        <v>#NAME?</v>
      </c>
    </row>
    <row r="80" ht="15.75" customHeight="1">
      <c r="O80" s="130"/>
      <c r="P80" s="130"/>
      <c r="Q80" s="130"/>
      <c r="R80" s="130"/>
      <c r="S80" s="130"/>
      <c r="T80" s="130" t="str">
        <f>'Scratch Pad'!G70</f>
        <v/>
      </c>
      <c r="U80" s="130" t="str">
        <f t="shared" si="8"/>
        <v/>
      </c>
      <c r="V80" s="153" t="str">
        <f t="shared" si="7"/>
        <v>#NAME?</v>
      </c>
    </row>
    <row r="81" ht="15.75" customHeight="1">
      <c r="O81" s="130"/>
      <c r="P81" s="130"/>
      <c r="Q81" s="130"/>
      <c r="R81" s="130"/>
      <c r="S81" s="130"/>
      <c r="T81" s="130" t="str">
        <f>'Scratch Pad'!G71</f>
        <v/>
      </c>
      <c r="U81" s="130" t="str">
        <f t="shared" si="8"/>
        <v/>
      </c>
      <c r="V81" s="153" t="str">
        <f t="shared" si="7"/>
        <v>#NAME?</v>
      </c>
    </row>
    <row r="82" ht="15.75" customHeight="1">
      <c r="O82" s="130"/>
      <c r="P82" s="130"/>
      <c r="Q82" s="130"/>
      <c r="R82" s="130"/>
      <c r="S82" s="130"/>
      <c r="T82" s="130" t="str">
        <f>'Scratch Pad'!G72</f>
        <v/>
      </c>
      <c r="U82" s="130" t="str">
        <f t="shared" si="8"/>
        <v/>
      </c>
      <c r="V82" s="153" t="str">
        <f t="shared" si="7"/>
        <v>#NAME?</v>
      </c>
    </row>
    <row r="83" ht="15.75" customHeight="1">
      <c r="O83" s="130"/>
      <c r="P83" s="130"/>
      <c r="Q83" s="130"/>
      <c r="R83" s="130"/>
      <c r="S83" s="130"/>
      <c r="T83" s="130" t="str">
        <f>'Scratch Pad'!G73</f>
        <v/>
      </c>
      <c r="U83" s="130" t="str">
        <f t="shared" si="8"/>
        <v/>
      </c>
      <c r="V83" s="153" t="str">
        <f t="shared" si="7"/>
        <v>#NAME?</v>
      </c>
    </row>
    <row r="84" ht="15.75" customHeight="1">
      <c r="O84" s="130"/>
      <c r="P84" s="130"/>
      <c r="Q84" s="130"/>
      <c r="R84" s="130"/>
      <c r="S84" s="130"/>
      <c r="T84" s="130" t="str">
        <f>'Scratch Pad'!G74</f>
        <v/>
      </c>
      <c r="U84" s="130" t="str">
        <f t="shared" si="8"/>
        <v/>
      </c>
      <c r="V84" s="153" t="str">
        <f t="shared" si="7"/>
        <v>#NAME?</v>
      </c>
    </row>
    <row r="85" ht="15.75" customHeight="1">
      <c r="O85" s="130"/>
      <c r="P85" s="130"/>
      <c r="Q85" s="130"/>
      <c r="R85" s="130"/>
      <c r="S85" s="130"/>
      <c r="T85" s="130" t="str">
        <f>'Scratch Pad'!G75</f>
        <v/>
      </c>
      <c r="U85" s="130" t="str">
        <f t="shared" si="8"/>
        <v/>
      </c>
      <c r="V85" s="153" t="str">
        <f t="shared" si="7"/>
        <v>#NAME?</v>
      </c>
    </row>
    <row r="86" ht="15.75" customHeight="1">
      <c r="O86" s="130"/>
      <c r="P86" s="130"/>
      <c r="Q86" s="130"/>
      <c r="R86" s="130"/>
      <c r="S86" s="130"/>
      <c r="T86" s="130" t="str">
        <f>'Scratch Pad'!G76</f>
        <v/>
      </c>
      <c r="U86" s="130" t="str">
        <f t="shared" si="8"/>
        <v/>
      </c>
      <c r="V86" s="153" t="str">
        <f t="shared" si="7"/>
        <v>#NAME?</v>
      </c>
    </row>
    <row r="87" ht="15.75" customHeight="1">
      <c r="O87" s="130"/>
      <c r="P87" s="130"/>
      <c r="Q87" s="130"/>
      <c r="R87" s="130"/>
      <c r="S87" s="130"/>
      <c r="T87" s="130" t="str">
        <f>'Scratch Pad'!G77</f>
        <v/>
      </c>
      <c r="U87" s="130" t="str">
        <f t="shared" si="8"/>
        <v/>
      </c>
      <c r="V87" s="153" t="str">
        <f t="shared" si="7"/>
        <v>#NAME?</v>
      </c>
    </row>
    <row r="88" ht="15.75" customHeight="1">
      <c r="O88" s="130"/>
      <c r="P88" s="130"/>
      <c r="Q88" s="130"/>
      <c r="R88" s="130"/>
      <c r="S88" s="130"/>
      <c r="T88" s="130" t="str">
        <f>'Scratch Pad'!G78</f>
        <v/>
      </c>
      <c r="U88" s="130" t="str">
        <f t="shared" si="8"/>
        <v/>
      </c>
      <c r="V88" s="153" t="str">
        <f t="shared" si="7"/>
        <v>#NAME?</v>
      </c>
    </row>
    <row r="89" ht="15.75" customHeight="1">
      <c r="O89" s="130"/>
      <c r="P89" s="130"/>
      <c r="Q89" s="130"/>
      <c r="R89" s="130"/>
      <c r="S89" s="130"/>
      <c r="T89" s="130" t="str">
        <f>'Scratch Pad'!G79</f>
        <v/>
      </c>
      <c r="U89" s="130" t="str">
        <f t="shared" si="8"/>
        <v/>
      </c>
      <c r="V89" s="153" t="str">
        <f t="shared" si="7"/>
        <v>#NAME?</v>
      </c>
    </row>
    <row r="90" ht="15.75" customHeight="1">
      <c r="O90" s="130"/>
      <c r="P90" s="130"/>
      <c r="Q90" s="130"/>
      <c r="R90" s="130"/>
      <c r="S90" s="130"/>
      <c r="T90" s="130" t="str">
        <f>'Scratch Pad'!G80</f>
        <v/>
      </c>
      <c r="U90" s="130" t="str">
        <f t="shared" si="8"/>
        <v/>
      </c>
      <c r="V90" s="153" t="str">
        <f t="shared" si="7"/>
        <v>#NAME?</v>
      </c>
    </row>
    <row r="91" ht="15.75" customHeight="1">
      <c r="O91" s="130"/>
      <c r="P91" s="130"/>
      <c r="Q91" s="130"/>
      <c r="R91" s="130"/>
      <c r="S91" s="130"/>
      <c r="T91" s="130" t="str">
        <f>'Scratch Pad'!G81</f>
        <v/>
      </c>
      <c r="U91" s="130" t="str">
        <f t="shared" si="8"/>
        <v/>
      </c>
      <c r="V91" s="153" t="str">
        <f t="shared" si="7"/>
        <v>#NAME?</v>
      </c>
    </row>
    <row r="92" ht="15.75" customHeight="1">
      <c r="O92" s="130"/>
      <c r="P92" s="130"/>
      <c r="Q92" s="130"/>
      <c r="R92" s="130"/>
      <c r="S92" s="130"/>
      <c r="T92" s="130" t="str">
        <f>'Scratch Pad'!G82</f>
        <v/>
      </c>
      <c r="U92" s="130" t="str">
        <f t="shared" si="8"/>
        <v/>
      </c>
      <c r="V92" s="153" t="str">
        <f t="shared" si="7"/>
        <v>#NAME?</v>
      </c>
    </row>
    <row r="93" ht="15.75" customHeight="1">
      <c r="O93" s="130"/>
      <c r="P93" s="130"/>
      <c r="Q93" s="130"/>
      <c r="R93" s="130"/>
      <c r="S93" s="130"/>
      <c r="T93" s="130" t="str">
        <f>'Scratch Pad'!G83</f>
        <v/>
      </c>
      <c r="U93" s="130" t="str">
        <f t="shared" si="8"/>
        <v/>
      </c>
      <c r="V93" s="153" t="str">
        <f t="shared" si="7"/>
        <v>#NAME?</v>
      </c>
    </row>
    <row r="94" ht="15.75" customHeight="1">
      <c r="O94" s="130"/>
      <c r="P94" s="130"/>
      <c r="Q94" s="130"/>
      <c r="R94" s="130"/>
      <c r="S94" s="130"/>
      <c r="T94" s="130" t="str">
        <f>'Scratch Pad'!G84</f>
        <v/>
      </c>
      <c r="U94" s="130" t="str">
        <f t="shared" si="8"/>
        <v/>
      </c>
      <c r="V94" s="153" t="str">
        <f t="shared" si="7"/>
        <v>#NAME?</v>
      </c>
    </row>
    <row r="95" ht="15.75" customHeight="1">
      <c r="O95" s="130"/>
      <c r="P95" s="130"/>
      <c r="Q95" s="130"/>
      <c r="R95" s="130"/>
      <c r="S95" s="130"/>
      <c r="T95" s="130" t="str">
        <f>'Scratch Pad'!G85</f>
        <v/>
      </c>
      <c r="U95" s="130" t="str">
        <f t="shared" si="8"/>
        <v/>
      </c>
      <c r="V95" s="153" t="str">
        <f t="shared" si="7"/>
        <v>#NAME?</v>
      </c>
    </row>
    <row r="96" ht="15.75" customHeight="1">
      <c r="O96" s="130"/>
      <c r="P96" s="130"/>
      <c r="Q96" s="130"/>
      <c r="R96" s="130"/>
      <c r="S96" s="130"/>
      <c r="T96" s="130" t="str">
        <f>'Scratch Pad'!G86</f>
        <v/>
      </c>
      <c r="U96" s="130" t="str">
        <f t="shared" si="8"/>
        <v/>
      </c>
      <c r="V96" s="153" t="str">
        <f t="shared" si="7"/>
        <v>#NAME?</v>
      </c>
    </row>
    <row r="97" ht="15.75" customHeight="1">
      <c r="O97" s="130"/>
      <c r="P97" s="130"/>
      <c r="Q97" s="130"/>
      <c r="R97" s="130"/>
      <c r="S97" s="130"/>
      <c r="T97" s="130" t="str">
        <f>'Scratch Pad'!G87</f>
        <v/>
      </c>
      <c r="U97" s="130" t="str">
        <f t="shared" si="8"/>
        <v/>
      </c>
      <c r="V97" s="153" t="str">
        <f t="shared" si="7"/>
        <v>#NAME?</v>
      </c>
    </row>
    <row r="98" ht="15.75" customHeight="1">
      <c r="O98" s="130"/>
      <c r="P98" s="130"/>
      <c r="Q98" s="130"/>
      <c r="R98" s="130"/>
      <c r="S98" s="130"/>
      <c r="T98" s="130" t="str">
        <f>'Scratch Pad'!G88</f>
        <v/>
      </c>
      <c r="U98" s="130" t="str">
        <f t="shared" si="8"/>
        <v/>
      </c>
      <c r="V98" s="153" t="str">
        <f t="shared" si="7"/>
        <v>#NAME?</v>
      </c>
    </row>
    <row r="99" ht="15.75" customHeight="1">
      <c r="O99" s="130"/>
      <c r="P99" s="130"/>
      <c r="Q99" s="130"/>
      <c r="R99" s="130"/>
      <c r="S99" s="130"/>
      <c r="T99" s="130" t="str">
        <f>'Scratch Pad'!G89</f>
        <v/>
      </c>
      <c r="U99" s="130" t="str">
        <f t="shared" si="8"/>
        <v/>
      </c>
      <c r="V99" s="153" t="str">
        <f t="shared" si="7"/>
        <v>#NAME?</v>
      </c>
    </row>
    <row r="100" ht="15.75" customHeight="1">
      <c r="O100" s="130"/>
      <c r="P100" s="130"/>
      <c r="Q100" s="130"/>
      <c r="R100" s="130"/>
      <c r="S100" s="130"/>
      <c r="T100" s="130" t="str">
        <f>'Scratch Pad'!G90</f>
        <v/>
      </c>
      <c r="U100" s="130" t="str">
        <f t="shared" si="8"/>
        <v/>
      </c>
      <c r="V100" s="153" t="str">
        <f t="shared" si="7"/>
        <v>#NAME?</v>
      </c>
    </row>
    <row r="101" ht="15.75" customHeight="1">
      <c r="O101" s="130"/>
      <c r="P101" s="130"/>
      <c r="Q101" s="130"/>
      <c r="R101" s="130"/>
      <c r="S101" s="130"/>
      <c r="T101" s="130" t="str">
        <f>'Scratch Pad'!G91</f>
        <v/>
      </c>
      <c r="U101" s="130" t="str">
        <f t="shared" si="8"/>
        <v/>
      </c>
      <c r="V101" s="153" t="str">
        <f t="shared" si="7"/>
        <v>#NAME?</v>
      </c>
    </row>
    <row r="102" ht="15.75" customHeight="1">
      <c r="O102" s="130"/>
      <c r="P102" s="130"/>
      <c r="Q102" s="130"/>
      <c r="R102" s="130"/>
      <c r="S102" s="130"/>
      <c r="T102" s="130" t="str">
        <f>'Scratch Pad'!G92</f>
        <v/>
      </c>
      <c r="U102" s="130" t="str">
        <f t="shared" si="8"/>
        <v/>
      </c>
      <c r="V102" s="153" t="str">
        <f t="shared" si="7"/>
        <v>#NAME?</v>
      </c>
    </row>
    <row r="103" ht="15.75" customHeight="1">
      <c r="O103" s="130"/>
      <c r="P103" s="130"/>
      <c r="Q103" s="130"/>
      <c r="R103" s="130"/>
      <c r="S103" s="130"/>
      <c r="T103" s="130" t="str">
        <f>'Scratch Pad'!G93</f>
        <v/>
      </c>
      <c r="U103" s="130" t="str">
        <f t="shared" si="8"/>
        <v/>
      </c>
      <c r="V103" s="153" t="str">
        <f t="shared" si="7"/>
        <v>#NAME?</v>
      </c>
    </row>
    <row r="104" ht="15.75" customHeight="1">
      <c r="O104" s="130"/>
      <c r="P104" s="130"/>
      <c r="Q104" s="130"/>
      <c r="R104" s="130"/>
      <c r="S104" s="130"/>
      <c r="T104" s="130" t="str">
        <f>'Scratch Pad'!G94</f>
        <v/>
      </c>
      <c r="U104" s="130" t="str">
        <f t="shared" si="8"/>
        <v/>
      </c>
      <c r="V104" s="153" t="str">
        <f t="shared" si="7"/>
        <v>#NAME?</v>
      </c>
    </row>
    <row r="105" ht="15.75" customHeight="1">
      <c r="O105" s="130"/>
      <c r="P105" s="130"/>
      <c r="Q105" s="130"/>
      <c r="R105" s="130"/>
      <c r="S105" s="130"/>
      <c r="T105" s="130" t="str">
        <f>'Scratch Pad'!G95</f>
        <v/>
      </c>
      <c r="U105" s="130" t="str">
        <f t="shared" si="8"/>
        <v/>
      </c>
      <c r="V105" s="153" t="str">
        <f t="shared" si="7"/>
        <v>#NAME?</v>
      </c>
    </row>
    <row r="106" ht="15.75" customHeight="1">
      <c r="O106" s="130"/>
      <c r="P106" s="130"/>
      <c r="Q106" s="130"/>
      <c r="R106" s="130"/>
      <c r="S106" s="130"/>
      <c r="T106" s="130" t="str">
        <f>'Scratch Pad'!G96</f>
        <v/>
      </c>
      <c r="U106" s="130" t="str">
        <f t="shared" si="8"/>
        <v/>
      </c>
      <c r="V106" s="153" t="str">
        <f t="shared" si="7"/>
        <v>#NAME?</v>
      </c>
    </row>
    <row r="107" ht="15.75" customHeight="1">
      <c r="O107" s="130"/>
      <c r="P107" s="130"/>
      <c r="Q107" s="130"/>
      <c r="R107" s="130"/>
      <c r="S107" s="130"/>
      <c r="T107" s="130" t="str">
        <f>'Scratch Pad'!G97</f>
        <v/>
      </c>
      <c r="U107" s="130" t="str">
        <f t="shared" si="8"/>
        <v/>
      </c>
      <c r="V107" s="153" t="str">
        <f t="shared" si="7"/>
        <v>#NAME?</v>
      </c>
    </row>
    <row r="108" ht="15.75" customHeight="1">
      <c r="O108" s="130"/>
      <c r="P108" s="130"/>
      <c r="Q108" s="130"/>
      <c r="R108" s="130"/>
      <c r="S108" s="130"/>
      <c r="T108" s="130" t="str">
        <f>'Scratch Pad'!G98</f>
        <v/>
      </c>
      <c r="U108" s="130" t="str">
        <f t="shared" si="8"/>
        <v/>
      </c>
      <c r="V108" s="153" t="str">
        <f t="shared" si="7"/>
        <v>#NAME?</v>
      </c>
    </row>
    <row r="109" ht="15.75" customHeight="1">
      <c r="O109" s="130"/>
      <c r="P109" s="130"/>
      <c r="Q109" s="130"/>
      <c r="R109" s="130"/>
      <c r="S109" s="130"/>
      <c r="T109" s="130" t="str">
        <f>'Scratch Pad'!G99</f>
        <v/>
      </c>
      <c r="U109" s="130" t="str">
        <f t="shared" si="8"/>
        <v/>
      </c>
      <c r="V109" s="153" t="str">
        <f t="shared" si="7"/>
        <v>#NAME?</v>
      </c>
    </row>
    <row r="110" ht="15.75" customHeight="1">
      <c r="O110" s="130"/>
      <c r="P110" s="130"/>
      <c r="Q110" s="130"/>
      <c r="R110" s="130"/>
      <c r="S110" s="130"/>
      <c r="T110" s="130" t="str">
        <f>'Scratch Pad'!G100</f>
        <v/>
      </c>
      <c r="U110" s="130" t="str">
        <f t="shared" si="8"/>
        <v/>
      </c>
      <c r="V110" s="153" t="str">
        <f t="shared" si="7"/>
        <v>#NAME?</v>
      </c>
    </row>
    <row r="111" ht="15.75" customHeight="1">
      <c r="O111" s="130"/>
      <c r="P111" s="130"/>
      <c r="Q111" s="130"/>
      <c r="R111" s="130"/>
      <c r="S111" s="130"/>
      <c r="T111" s="130" t="str">
        <f>'Scratch Pad'!G101</f>
        <v/>
      </c>
      <c r="U111" s="130" t="str">
        <f t="shared" si="8"/>
        <v/>
      </c>
      <c r="V111" s="153" t="str">
        <f t="shared" si="7"/>
        <v>#NAME?</v>
      </c>
    </row>
    <row r="112" ht="15.75" customHeight="1">
      <c r="O112" s="130"/>
      <c r="P112" s="130"/>
      <c r="Q112" s="130"/>
      <c r="R112" s="130"/>
      <c r="S112" s="130"/>
      <c r="T112" s="130" t="str">
        <f>'Scratch Pad'!G102</f>
        <v/>
      </c>
      <c r="U112" s="130" t="str">
        <f t="shared" si="8"/>
        <v/>
      </c>
      <c r="V112" s="153" t="str">
        <f t="shared" si="7"/>
        <v>#NAME?</v>
      </c>
    </row>
    <row r="113" ht="15.75" customHeight="1">
      <c r="O113" s="130"/>
      <c r="P113" s="130"/>
      <c r="Q113" s="130"/>
      <c r="R113" s="130"/>
      <c r="S113" s="130"/>
      <c r="T113" s="130" t="str">
        <f>'Scratch Pad'!G103</f>
        <v/>
      </c>
      <c r="U113" s="130" t="str">
        <f t="shared" si="8"/>
        <v/>
      </c>
      <c r="V113" s="153" t="str">
        <f t="shared" si="7"/>
        <v>#NAME?</v>
      </c>
    </row>
    <row r="114" ht="15.75" customHeight="1">
      <c r="O114" s="130"/>
      <c r="P114" s="130"/>
      <c r="Q114" s="130"/>
      <c r="R114" s="130"/>
      <c r="S114" s="130"/>
      <c r="T114" s="130" t="str">
        <f>'Scratch Pad'!G104</f>
        <v/>
      </c>
      <c r="U114" s="130" t="str">
        <f t="shared" si="8"/>
        <v/>
      </c>
      <c r="V114" s="153" t="str">
        <f t="shared" si="7"/>
        <v>#NAME?</v>
      </c>
    </row>
    <row r="115" ht="15.75" customHeight="1">
      <c r="O115" s="130"/>
      <c r="P115" s="130"/>
      <c r="Q115" s="130"/>
      <c r="R115" s="130"/>
      <c r="S115" s="130"/>
      <c r="T115" s="130" t="str">
        <f>'Scratch Pad'!G105</f>
        <v/>
      </c>
      <c r="U115" s="130" t="str">
        <f t="shared" si="8"/>
        <v/>
      </c>
      <c r="V115" s="153" t="str">
        <f t="shared" si="7"/>
        <v>#NAME?</v>
      </c>
    </row>
    <row r="116" ht="15.75" customHeight="1">
      <c r="O116" s="130"/>
      <c r="P116" s="130"/>
      <c r="Q116" s="130"/>
      <c r="R116" s="130"/>
      <c r="S116" s="130"/>
      <c r="T116" s="130" t="str">
        <f>'Scratch Pad'!G106</f>
        <v/>
      </c>
      <c r="U116" s="130" t="str">
        <f t="shared" si="8"/>
        <v/>
      </c>
      <c r="V116" s="153" t="str">
        <f t="shared" si="7"/>
        <v>#NAME?</v>
      </c>
    </row>
    <row r="117" ht="15.75" customHeight="1">
      <c r="O117" s="130"/>
      <c r="P117" s="130"/>
      <c r="Q117" s="130"/>
      <c r="R117" s="130"/>
      <c r="S117" s="130"/>
      <c r="T117" s="130" t="str">
        <f>'Scratch Pad'!G107</f>
        <v/>
      </c>
      <c r="U117" s="130" t="str">
        <f t="shared" si="8"/>
        <v/>
      </c>
      <c r="V117" s="153" t="str">
        <f t="shared" si="7"/>
        <v>#NAME?</v>
      </c>
    </row>
    <row r="118" ht="15.75" customHeight="1">
      <c r="O118" s="130"/>
      <c r="P118" s="130"/>
      <c r="Q118" s="130"/>
      <c r="R118" s="130"/>
      <c r="S118" s="130"/>
      <c r="T118" s="130" t="str">
        <f>'Scratch Pad'!G108</f>
        <v/>
      </c>
      <c r="U118" s="130" t="str">
        <f t="shared" si="8"/>
        <v/>
      </c>
      <c r="V118" s="153" t="str">
        <f t="shared" si="7"/>
        <v>#NAME?</v>
      </c>
    </row>
    <row r="119" ht="15.75" customHeight="1">
      <c r="O119" s="130"/>
      <c r="P119" s="130"/>
      <c r="Q119" s="130"/>
      <c r="R119" s="130"/>
      <c r="S119" s="130"/>
      <c r="T119" s="130" t="str">
        <f>'Scratch Pad'!G109</f>
        <v/>
      </c>
      <c r="U119" s="130" t="str">
        <f t="shared" si="8"/>
        <v/>
      </c>
      <c r="V119" s="153" t="str">
        <f t="shared" si="7"/>
        <v>#NAME?</v>
      </c>
    </row>
    <row r="120" ht="15.75" customHeight="1">
      <c r="O120" s="130"/>
      <c r="P120" s="130"/>
      <c r="Q120" s="130"/>
      <c r="R120" s="130"/>
      <c r="S120" s="130"/>
      <c r="T120" s="130" t="str">
        <f>'Scratch Pad'!G110</f>
        <v/>
      </c>
      <c r="U120" s="130" t="str">
        <f t="shared" si="8"/>
        <v/>
      </c>
      <c r="V120" s="153" t="str">
        <f t="shared" si="7"/>
        <v>#NAME?</v>
      </c>
    </row>
    <row r="121" ht="15.75" customHeight="1">
      <c r="O121" s="130"/>
      <c r="P121" s="130"/>
      <c r="Q121" s="130"/>
      <c r="R121" s="130"/>
      <c r="S121" s="130"/>
      <c r="T121" s="130" t="str">
        <f>'Scratch Pad'!G111</f>
        <v/>
      </c>
      <c r="U121" s="130" t="str">
        <f t="shared" si="8"/>
        <v/>
      </c>
      <c r="V121" s="153" t="str">
        <f t="shared" si="7"/>
        <v>#NAME?</v>
      </c>
    </row>
    <row r="122" ht="15.75" customHeight="1">
      <c r="O122" s="130"/>
      <c r="P122" s="130"/>
      <c r="Q122" s="130"/>
      <c r="R122" s="130"/>
      <c r="S122" s="130"/>
      <c r="T122" s="130" t="str">
        <f>'Scratch Pad'!G112</f>
        <v/>
      </c>
      <c r="U122" s="130" t="str">
        <f t="shared" si="8"/>
        <v/>
      </c>
      <c r="V122" s="153" t="str">
        <f t="shared" si="7"/>
        <v>#NAME?</v>
      </c>
    </row>
    <row r="123" ht="15.75" customHeight="1">
      <c r="O123" s="130"/>
      <c r="P123" s="130"/>
      <c r="Q123" s="130"/>
      <c r="R123" s="130"/>
      <c r="S123" s="130"/>
      <c r="T123" s="130" t="str">
        <f>'Scratch Pad'!G113</f>
        <v/>
      </c>
      <c r="U123" s="130" t="str">
        <f t="shared" si="8"/>
        <v/>
      </c>
      <c r="V123" s="153" t="str">
        <f t="shared" si="7"/>
        <v>#NAME?</v>
      </c>
    </row>
    <row r="124" ht="15.75" customHeight="1">
      <c r="O124" s="130"/>
      <c r="P124" s="130"/>
      <c r="Q124" s="130"/>
      <c r="R124" s="130"/>
      <c r="S124" s="130"/>
      <c r="T124" s="130" t="str">
        <f>'Scratch Pad'!G114</f>
        <v/>
      </c>
      <c r="U124" s="130" t="str">
        <f t="shared" si="8"/>
        <v/>
      </c>
      <c r="V124" s="153" t="str">
        <f t="shared" si="7"/>
        <v>#NAME?</v>
      </c>
    </row>
    <row r="125" ht="15.75" customHeight="1">
      <c r="O125" s="130"/>
      <c r="P125" s="130"/>
      <c r="Q125" s="130"/>
      <c r="R125" s="130"/>
      <c r="S125" s="130"/>
      <c r="T125" s="130" t="str">
        <f>'Scratch Pad'!G115</f>
        <v/>
      </c>
      <c r="U125" s="130" t="str">
        <f t="shared" si="8"/>
        <v/>
      </c>
      <c r="V125" s="153" t="str">
        <f t="shared" si="7"/>
        <v>#NAME?</v>
      </c>
    </row>
    <row r="126" ht="15.75" customHeight="1">
      <c r="O126" s="130"/>
      <c r="P126" s="130"/>
      <c r="Q126" s="130"/>
      <c r="R126" s="130"/>
      <c r="S126" s="130"/>
      <c r="T126" s="130" t="str">
        <f>'Scratch Pad'!G116</f>
        <v/>
      </c>
      <c r="U126" s="130" t="str">
        <f t="shared" si="8"/>
        <v/>
      </c>
      <c r="V126" s="153" t="str">
        <f t="shared" si="7"/>
        <v>#NAME?</v>
      </c>
    </row>
    <row r="127" ht="15.75" customHeight="1">
      <c r="O127" s="130"/>
      <c r="P127" s="130"/>
      <c r="Q127" s="130"/>
      <c r="R127" s="130"/>
      <c r="S127" s="130"/>
      <c r="T127" s="130" t="str">
        <f>'Scratch Pad'!G117</f>
        <v/>
      </c>
      <c r="U127" s="130" t="str">
        <f t="shared" si="8"/>
        <v/>
      </c>
      <c r="V127" s="153" t="str">
        <f t="shared" si="7"/>
        <v>#NAME?</v>
      </c>
    </row>
    <row r="128" ht="15.75" customHeight="1">
      <c r="O128" s="130"/>
      <c r="P128" s="130"/>
      <c r="Q128" s="130"/>
      <c r="R128" s="130"/>
      <c r="S128" s="130"/>
      <c r="T128" s="130" t="str">
        <f>'Scratch Pad'!G118</f>
        <v/>
      </c>
      <c r="U128" s="130" t="str">
        <f t="shared" si="8"/>
        <v/>
      </c>
      <c r="V128" s="153" t="str">
        <f t="shared" si="7"/>
        <v>#NAME?</v>
      </c>
    </row>
    <row r="129" ht="15.75" customHeight="1">
      <c r="O129" s="130"/>
      <c r="P129" s="130"/>
      <c r="Q129" s="130"/>
      <c r="R129" s="130"/>
      <c r="S129" s="130"/>
      <c r="T129" s="130" t="str">
        <f>'Scratch Pad'!G119</f>
        <v/>
      </c>
      <c r="U129" s="130" t="str">
        <f t="shared" si="8"/>
        <v/>
      </c>
      <c r="V129" s="153" t="str">
        <f t="shared" si="7"/>
        <v>#NAME?</v>
      </c>
    </row>
    <row r="130" ht="15.75" customHeight="1">
      <c r="O130" s="130"/>
      <c r="P130" s="130"/>
      <c r="Q130" s="130"/>
      <c r="R130" s="130"/>
      <c r="S130" s="130"/>
      <c r="T130" s="130" t="str">
        <f>'Scratch Pad'!G120</f>
        <v/>
      </c>
      <c r="U130" s="130" t="str">
        <f t="shared" si="8"/>
        <v/>
      </c>
      <c r="V130" s="153" t="str">
        <f t="shared" si="7"/>
        <v>#NAME?</v>
      </c>
    </row>
    <row r="131" ht="15.75" customHeight="1">
      <c r="O131" s="130"/>
      <c r="P131" s="130"/>
      <c r="Q131" s="130"/>
      <c r="R131" s="130"/>
      <c r="S131" s="130"/>
      <c r="T131" s="130" t="str">
        <f>'Scratch Pad'!G121</f>
        <v/>
      </c>
      <c r="U131" s="130" t="str">
        <f t="shared" si="8"/>
        <v/>
      </c>
      <c r="V131" s="153" t="str">
        <f t="shared" si="7"/>
        <v>#NAME?</v>
      </c>
    </row>
    <row r="132" ht="15.75" customHeight="1">
      <c r="O132" s="130"/>
      <c r="P132" s="130"/>
      <c r="Q132" s="130"/>
      <c r="R132" s="130"/>
      <c r="S132" s="130"/>
      <c r="T132" s="130" t="str">
        <f>'Scratch Pad'!G122</f>
        <v/>
      </c>
      <c r="U132" s="130" t="str">
        <f t="shared" si="8"/>
        <v/>
      </c>
      <c r="V132" s="153" t="str">
        <f t="shared" si="7"/>
        <v>#NAME?</v>
      </c>
    </row>
    <row r="133" ht="15.75" customHeight="1">
      <c r="O133" s="130"/>
      <c r="P133" s="130"/>
      <c r="Q133" s="130"/>
      <c r="R133" s="130"/>
      <c r="S133" s="130"/>
      <c r="T133" s="130" t="str">
        <f>'Scratch Pad'!G123</f>
        <v/>
      </c>
      <c r="U133" s="130" t="str">
        <f t="shared" si="8"/>
        <v/>
      </c>
      <c r="V133" s="153" t="str">
        <f t="shared" si="7"/>
        <v>#NAME?</v>
      </c>
    </row>
    <row r="134" ht="15.75" customHeight="1">
      <c r="O134" s="130"/>
      <c r="P134" s="130"/>
      <c r="Q134" s="130"/>
      <c r="R134" s="130"/>
      <c r="S134" s="130"/>
      <c r="T134" s="130" t="str">
        <f>'Scratch Pad'!G124</f>
        <v/>
      </c>
      <c r="U134" s="130" t="str">
        <f t="shared" si="8"/>
        <v/>
      </c>
      <c r="V134" s="153" t="str">
        <f t="shared" si="7"/>
        <v>#NAME?</v>
      </c>
    </row>
    <row r="135" ht="15.75" customHeight="1">
      <c r="O135" s="130"/>
      <c r="P135" s="130"/>
      <c r="Q135" s="130"/>
      <c r="R135" s="130"/>
      <c r="S135" s="130"/>
      <c r="T135" s="130" t="str">
        <f>'Scratch Pad'!G125</f>
        <v/>
      </c>
      <c r="U135" s="130" t="str">
        <f t="shared" si="8"/>
        <v/>
      </c>
      <c r="V135" s="153" t="str">
        <f t="shared" si="7"/>
        <v>#NAME?</v>
      </c>
    </row>
    <row r="136" ht="15.75" customHeight="1">
      <c r="O136" s="130"/>
      <c r="P136" s="130"/>
      <c r="Q136" s="130"/>
      <c r="R136" s="130"/>
      <c r="S136" s="130"/>
      <c r="T136" s="130" t="str">
        <f>'Scratch Pad'!G126</f>
        <v/>
      </c>
      <c r="U136" s="130" t="str">
        <f t="shared" si="8"/>
        <v/>
      </c>
      <c r="V136" s="153" t="str">
        <f t="shared" si="7"/>
        <v>#NAME?</v>
      </c>
    </row>
    <row r="137" ht="15.75" customHeight="1">
      <c r="O137" s="130"/>
      <c r="P137" s="130"/>
      <c r="Q137" s="130"/>
      <c r="R137" s="130"/>
      <c r="S137" s="130"/>
      <c r="T137" s="130" t="str">
        <f>'Scratch Pad'!G127</f>
        <v/>
      </c>
      <c r="U137" s="130" t="str">
        <f t="shared" si="8"/>
        <v/>
      </c>
      <c r="V137" s="153" t="str">
        <f t="shared" si="7"/>
        <v>#NAME?</v>
      </c>
    </row>
    <row r="138" ht="15.75" customHeight="1">
      <c r="O138" s="130"/>
      <c r="P138" s="130"/>
      <c r="Q138" s="130"/>
      <c r="R138" s="130"/>
      <c r="S138" s="130"/>
      <c r="T138" s="130" t="str">
        <f>'Scratch Pad'!G128</f>
        <v/>
      </c>
      <c r="U138" s="130" t="str">
        <f t="shared" si="8"/>
        <v/>
      </c>
      <c r="V138" s="153" t="str">
        <f t="shared" si="7"/>
        <v>#NAME?</v>
      </c>
    </row>
    <row r="139" ht="15.75" customHeight="1">
      <c r="O139" s="130"/>
      <c r="P139" s="130"/>
      <c r="Q139" s="130"/>
      <c r="R139" s="130"/>
      <c r="S139" s="130"/>
      <c r="T139" s="130" t="str">
        <f>'Scratch Pad'!G129</f>
        <v/>
      </c>
      <c r="U139" s="130" t="str">
        <f t="shared" si="8"/>
        <v/>
      </c>
      <c r="V139" s="153" t="str">
        <f t="shared" si="7"/>
        <v>#NAME?</v>
      </c>
    </row>
    <row r="140" ht="15.75" customHeight="1">
      <c r="O140" s="130"/>
      <c r="P140" s="130"/>
      <c r="Q140" s="130"/>
      <c r="R140" s="130"/>
      <c r="S140" s="130"/>
      <c r="T140" s="130" t="str">
        <f>'Scratch Pad'!G130</f>
        <v/>
      </c>
      <c r="U140" s="130" t="str">
        <f t="shared" si="8"/>
        <v/>
      </c>
      <c r="V140" s="153" t="str">
        <f t="shared" si="7"/>
        <v>#NAME?</v>
      </c>
    </row>
    <row r="141" ht="15.75" customHeight="1">
      <c r="O141" s="130"/>
      <c r="P141" s="130"/>
      <c r="Q141" s="130"/>
      <c r="R141" s="130"/>
      <c r="S141" s="130"/>
      <c r="T141" s="130" t="str">
        <f>'Scratch Pad'!G131</f>
        <v/>
      </c>
      <c r="U141" s="130" t="str">
        <f t="shared" si="8"/>
        <v/>
      </c>
      <c r="V141" s="153" t="str">
        <f t="shared" si="7"/>
        <v>#NAME?</v>
      </c>
    </row>
    <row r="142" ht="15.75" customHeight="1">
      <c r="O142" s="130"/>
      <c r="P142" s="130"/>
      <c r="Q142" s="130"/>
      <c r="R142" s="130"/>
      <c r="S142" s="130"/>
      <c r="T142" s="130" t="str">
        <f>'Scratch Pad'!G132</f>
        <v/>
      </c>
      <c r="U142" s="130" t="str">
        <f t="shared" si="8"/>
        <v/>
      </c>
      <c r="V142" s="153" t="str">
        <f t="shared" si="7"/>
        <v>#NAME?</v>
      </c>
    </row>
    <row r="143" ht="15.75" customHeight="1">
      <c r="O143" s="130"/>
      <c r="P143" s="130"/>
      <c r="Q143" s="130"/>
      <c r="R143" s="130"/>
      <c r="S143" s="130"/>
      <c r="T143" s="130" t="str">
        <f>'Scratch Pad'!G133</f>
        <v/>
      </c>
      <c r="U143" s="130" t="str">
        <f t="shared" si="8"/>
        <v/>
      </c>
      <c r="V143" s="153" t="str">
        <f t="shared" si="7"/>
        <v>#NAME?</v>
      </c>
    </row>
    <row r="144" ht="15.75" customHeight="1">
      <c r="O144" s="130"/>
      <c r="P144" s="130"/>
      <c r="Q144" s="130"/>
      <c r="R144" s="130"/>
      <c r="S144" s="130"/>
      <c r="T144" s="130" t="str">
        <f>'Scratch Pad'!G134</f>
        <v/>
      </c>
      <c r="U144" s="130" t="str">
        <f t="shared" si="8"/>
        <v/>
      </c>
      <c r="V144" s="153" t="str">
        <f t="shared" si="7"/>
        <v>#NAME?</v>
      </c>
    </row>
    <row r="145" ht="15.75" customHeight="1">
      <c r="O145" s="130"/>
      <c r="P145" s="130"/>
      <c r="Q145" s="130"/>
      <c r="R145" s="130"/>
      <c r="S145" s="130"/>
      <c r="T145" s="130" t="str">
        <f>'Scratch Pad'!G135</f>
        <v/>
      </c>
      <c r="U145" s="130" t="str">
        <f t="shared" si="8"/>
        <v/>
      </c>
      <c r="V145" s="153" t="str">
        <f t="shared" si="7"/>
        <v>#NAME?</v>
      </c>
    </row>
    <row r="146" ht="15.75" customHeight="1">
      <c r="O146" s="130"/>
      <c r="P146" s="130"/>
      <c r="Q146" s="130"/>
      <c r="R146" s="130"/>
      <c r="S146" s="130"/>
      <c r="T146" s="130" t="str">
        <f>'Scratch Pad'!G136</f>
        <v/>
      </c>
      <c r="U146" s="130" t="str">
        <f t="shared" si="8"/>
        <v/>
      </c>
      <c r="V146" s="153" t="str">
        <f t="shared" si="7"/>
        <v>#NAME?</v>
      </c>
    </row>
    <row r="147" ht="15.75" customHeight="1">
      <c r="O147" s="130"/>
      <c r="P147" s="130"/>
      <c r="Q147" s="130"/>
      <c r="R147" s="130"/>
      <c r="S147" s="130"/>
      <c r="T147" s="130" t="str">
        <f>'Scratch Pad'!G137</f>
        <v/>
      </c>
      <c r="U147" s="130" t="str">
        <f t="shared" si="8"/>
        <v/>
      </c>
      <c r="V147" s="153" t="str">
        <f t="shared" si="7"/>
        <v>#NAME?</v>
      </c>
    </row>
    <row r="148" ht="15.75" customHeight="1">
      <c r="O148" s="130"/>
      <c r="P148" s="130"/>
      <c r="Q148" s="130"/>
      <c r="R148" s="130"/>
      <c r="S148" s="130"/>
      <c r="T148" s="130" t="str">
        <f>'Scratch Pad'!G138</f>
        <v/>
      </c>
      <c r="U148" s="130" t="str">
        <f t="shared" si="8"/>
        <v/>
      </c>
      <c r="V148" s="153" t="str">
        <f t="shared" si="7"/>
        <v>#NAME?</v>
      </c>
    </row>
    <row r="149" ht="15.75" customHeight="1">
      <c r="O149" s="130"/>
      <c r="P149" s="130"/>
      <c r="Q149" s="130"/>
      <c r="R149" s="130"/>
      <c r="S149" s="130"/>
      <c r="T149" s="130" t="str">
        <f>'Scratch Pad'!G139</f>
        <v/>
      </c>
      <c r="U149" s="130" t="str">
        <f t="shared" si="8"/>
        <v/>
      </c>
      <c r="V149" s="153" t="str">
        <f t="shared" si="7"/>
        <v>#NAME?</v>
      </c>
    </row>
    <row r="150" ht="15.75" customHeight="1">
      <c r="O150" s="130"/>
      <c r="P150" s="130"/>
      <c r="Q150" s="130"/>
      <c r="R150" s="130"/>
      <c r="S150" s="130"/>
      <c r="T150" s="130" t="str">
        <f>'Scratch Pad'!G140</f>
        <v/>
      </c>
      <c r="U150" s="130" t="str">
        <f t="shared" si="8"/>
        <v/>
      </c>
      <c r="V150" s="153" t="str">
        <f t="shared" si="7"/>
        <v>#NAME?</v>
      </c>
    </row>
    <row r="151" ht="15.75" customHeight="1">
      <c r="O151" s="130"/>
      <c r="P151" s="130"/>
      <c r="Q151" s="130"/>
      <c r="R151" s="130"/>
      <c r="S151" s="130"/>
      <c r="T151" s="130" t="str">
        <f>'Scratch Pad'!G141</f>
        <v/>
      </c>
      <c r="U151" s="130" t="str">
        <f t="shared" si="8"/>
        <v/>
      </c>
      <c r="V151" s="153" t="str">
        <f t="shared" si="7"/>
        <v>#NAME?</v>
      </c>
    </row>
    <row r="152" ht="15.75" customHeight="1">
      <c r="O152" s="130"/>
      <c r="P152" s="130"/>
      <c r="Q152" s="130"/>
      <c r="R152" s="130"/>
      <c r="S152" s="130"/>
      <c r="T152" s="130" t="str">
        <f>'Scratch Pad'!G142</f>
        <v/>
      </c>
      <c r="U152" s="130" t="str">
        <f t="shared" si="8"/>
        <v/>
      </c>
      <c r="V152" s="153" t="str">
        <f t="shared" si="7"/>
        <v>#NAME?</v>
      </c>
    </row>
    <row r="153" ht="15.75" customHeight="1">
      <c r="O153" s="130"/>
      <c r="P153" s="130"/>
      <c r="Q153" s="130"/>
      <c r="R153" s="130"/>
      <c r="S153" s="130"/>
      <c r="T153" s="130" t="str">
        <f>'Scratch Pad'!G143</f>
        <v/>
      </c>
      <c r="U153" s="130" t="str">
        <f t="shared" si="8"/>
        <v/>
      </c>
      <c r="V153" s="153" t="str">
        <f t="shared" si="7"/>
        <v>#NAME?</v>
      </c>
    </row>
    <row r="154" ht="15.75" customHeight="1">
      <c r="O154" s="130"/>
      <c r="P154" s="130"/>
      <c r="Q154" s="130"/>
      <c r="R154" s="130"/>
      <c r="S154" s="130"/>
      <c r="T154" s="130" t="str">
        <f>'Scratch Pad'!G144</f>
        <v/>
      </c>
      <c r="U154" s="130" t="str">
        <f t="shared" si="8"/>
        <v/>
      </c>
      <c r="V154" s="153" t="str">
        <f t="shared" si="7"/>
        <v>#NAME?</v>
      </c>
    </row>
    <row r="155" ht="15.75" customHeight="1">
      <c r="O155" s="130"/>
      <c r="P155" s="130"/>
      <c r="Q155" s="130"/>
      <c r="R155" s="130"/>
      <c r="S155" s="130"/>
      <c r="T155" s="130" t="str">
        <f>'Scratch Pad'!G145</f>
        <v/>
      </c>
      <c r="U155" s="130" t="str">
        <f t="shared" si="8"/>
        <v/>
      </c>
      <c r="V155" s="153" t="str">
        <f t="shared" si="7"/>
        <v>#NAME?</v>
      </c>
    </row>
    <row r="156" ht="15.75" customHeight="1">
      <c r="O156" s="130"/>
      <c r="P156" s="130"/>
      <c r="Q156" s="130"/>
      <c r="R156" s="130"/>
      <c r="S156" s="130"/>
      <c r="T156" s="130" t="str">
        <f>'Scratch Pad'!G146</f>
        <v/>
      </c>
      <c r="U156" s="130" t="str">
        <f t="shared" si="8"/>
        <v/>
      </c>
      <c r="V156" s="153" t="str">
        <f t="shared" si="7"/>
        <v>#NAME?</v>
      </c>
    </row>
    <row r="157" ht="15.75" customHeight="1">
      <c r="O157" s="130"/>
      <c r="P157" s="130"/>
      <c r="Q157" s="130"/>
      <c r="R157" s="130"/>
      <c r="S157" s="130"/>
      <c r="T157" s="130" t="str">
        <f>'Scratch Pad'!G147</f>
        <v/>
      </c>
      <c r="U157" s="130" t="str">
        <f t="shared" si="8"/>
        <v/>
      </c>
      <c r="V157" s="153" t="str">
        <f t="shared" si="7"/>
        <v>#NAME?</v>
      </c>
    </row>
    <row r="158" ht="15.75" customHeight="1">
      <c r="O158" s="130"/>
      <c r="P158" s="130"/>
      <c r="Q158" s="130"/>
      <c r="R158" s="130"/>
      <c r="S158" s="130"/>
      <c r="T158" s="130" t="str">
        <f>'Scratch Pad'!G148</f>
        <v/>
      </c>
      <c r="U158" s="130" t="str">
        <f t="shared" si="8"/>
        <v/>
      </c>
      <c r="V158" s="153" t="str">
        <f t="shared" si="7"/>
        <v>#NAME?</v>
      </c>
    </row>
    <row r="159" ht="15.75" customHeight="1">
      <c r="O159" s="130"/>
      <c r="P159" s="130"/>
      <c r="Q159" s="130"/>
      <c r="R159" s="130"/>
      <c r="S159" s="130"/>
      <c r="T159" s="130" t="str">
        <f>'Scratch Pad'!G149</f>
        <v/>
      </c>
      <c r="U159" s="130" t="str">
        <f t="shared" si="8"/>
        <v/>
      </c>
      <c r="V159" s="153" t="str">
        <f t="shared" si="7"/>
        <v>#NAME?</v>
      </c>
    </row>
    <row r="160" ht="15.75" customHeight="1">
      <c r="O160" s="130"/>
      <c r="P160" s="130"/>
      <c r="Q160" s="130"/>
      <c r="R160" s="130"/>
      <c r="S160" s="130"/>
      <c r="T160" s="130" t="str">
        <f>'Scratch Pad'!G150</f>
        <v/>
      </c>
      <c r="U160" s="130" t="str">
        <f t="shared" si="8"/>
        <v/>
      </c>
      <c r="V160" s="153" t="str">
        <f t="shared" si="7"/>
        <v>#NAME?</v>
      </c>
    </row>
    <row r="161" ht="15.75" customHeight="1">
      <c r="O161" s="130"/>
      <c r="P161" s="130"/>
      <c r="Q161" s="130"/>
      <c r="R161" s="130"/>
      <c r="S161" s="130"/>
      <c r="T161" s="130" t="str">
        <f>'Scratch Pad'!G151</f>
        <v/>
      </c>
      <c r="U161" s="130" t="str">
        <f t="shared" si="8"/>
        <v/>
      </c>
      <c r="V161" s="153" t="str">
        <f t="shared" si="7"/>
        <v>#NAME?</v>
      </c>
    </row>
    <row r="162" ht="15.75" customHeight="1">
      <c r="O162" s="130"/>
      <c r="P162" s="130"/>
      <c r="Q162" s="130"/>
      <c r="R162" s="130"/>
      <c r="S162" s="130"/>
      <c r="T162" s="130" t="str">
        <f>'Scratch Pad'!G152</f>
        <v/>
      </c>
      <c r="U162" s="130" t="str">
        <f t="shared" si="8"/>
        <v/>
      </c>
      <c r="V162" s="153" t="str">
        <f t="shared" si="7"/>
        <v>#NAME?</v>
      </c>
    </row>
    <row r="163" ht="15.75" customHeight="1">
      <c r="O163" s="130"/>
      <c r="P163" s="130"/>
      <c r="Q163" s="130"/>
      <c r="R163" s="130"/>
      <c r="S163" s="130"/>
      <c r="T163" s="130" t="str">
        <f>'Scratch Pad'!G153</f>
        <v/>
      </c>
      <c r="U163" s="130" t="str">
        <f t="shared" si="8"/>
        <v/>
      </c>
      <c r="V163" s="153" t="str">
        <f t="shared" si="7"/>
        <v>#NAME?</v>
      </c>
    </row>
    <row r="164" ht="15.75" customHeight="1">
      <c r="O164" s="130"/>
      <c r="P164" s="130"/>
      <c r="Q164" s="130"/>
      <c r="R164" s="130"/>
      <c r="S164" s="130"/>
      <c r="T164" s="130" t="str">
        <f>'Scratch Pad'!G154</f>
        <v/>
      </c>
      <c r="U164" s="130" t="str">
        <f t="shared" si="8"/>
        <v/>
      </c>
      <c r="V164" s="153" t="str">
        <f t="shared" si="7"/>
        <v>#NAME?</v>
      </c>
    </row>
    <row r="165" ht="15.75" customHeight="1">
      <c r="O165" s="130"/>
      <c r="P165" s="130"/>
      <c r="Q165" s="130"/>
      <c r="R165" s="130"/>
      <c r="S165" s="130"/>
      <c r="T165" s="130" t="str">
        <f>'Scratch Pad'!G155</f>
        <v/>
      </c>
      <c r="U165" s="130" t="str">
        <f t="shared" si="8"/>
        <v/>
      </c>
      <c r="V165" s="153" t="str">
        <f t="shared" si="7"/>
        <v>#NAME?</v>
      </c>
    </row>
    <row r="166" ht="15.75" customHeight="1">
      <c r="O166" s="130"/>
      <c r="P166" s="130"/>
      <c r="Q166" s="130"/>
      <c r="R166" s="130"/>
      <c r="S166" s="130"/>
      <c r="T166" s="130" t="str">
        <f>'Scratch Pad'!G156</f>
        <v/>
      </c>
      <c r="U166" s="130" t="str">
        <f t="shared" si="8"/>
        <v/>
      </c>
      <c r="V166" s="153" t="str">
        <f t="shared" si="7"/>
        <v>#NAME?</v>
      </c>
    </row>
    <row r="167" ht="15.75" customHeight="1">
      <c r="O167" s="130"/>
      <c r="P167" s="130"/>
      <c r="Q167" s="130"/>
      <c r="R167" s="130"/>
      <c r="S167" s="130"/>
      <c r="T167" s="130" t="str">
        <f>'Scratch Pad'!G157</f>
        <v/>
      </c>
      <c r="U167" s="130" t="str">
        <f t="shared" si="8"/>
        <v/>
      </c>
      <c r="V167" s="153" t="str">
        <f t="shared" si="7"/>
        <v>#NAME?</v>
      </c>
    </row>
    <row r="168" ht="15.75" customHeight="1">
      <c r="O168" s="130"/>
      <c r="P168" s="130"/>
      <c r="Q168" s="130"/>
      <c r="R168" s="130"/>
      <c r="S168" s="130"/>
      <c r="T168" s="130" t="str">
        <f>'Scratch Pad'!G158</f>
        <v/>
      </c>
      <c r="U168" s="130" t="str">
        <f t="shared" si="8"/>
        <v/>
      </c>
      <c r="V168" s="153" t="str">
        <f t="shared" si="7"/>
        <v>#NAME?</v>
      </c>
    </row>
    <row r="169" ht="15.75" customHeight="1">
      <c r="O169" s="130"/>
      <c r="P169" s="130"/>
      <c r="Q169" s="130"/>
      <c r="R169" s="130"/>
      <c r="S169" s="130"/>
      <c r="T169" s="130" t="str">
        <f>'Scratch Pad'!G159</f>
        <v/>
      </c>
      <c r="U169" s="130" t="str">
        <f t="shared" si="8"/>
        <v/>
      </c>
      <c r="V169" s="153" t="str">
        <f t="shared" si="7"/>
        <v>#NAME?</v>
      </c>
    </row>
    <row r="170" ht="15.75" customHeight="1">
      <c r="O170" s="130"/>
      <c r="P170" s="130"/>
      <c r="Q170" s="130"/>
      <c r="R170" s="130"/>
      <c r="S170" s="130"/>
      <c r="T170" s="130" t="str">
        <f>'Scratch Pad'!G160</f>
        <v/>
      </c>
      <c r="U170" s="130" t="str">
        <f t="shared" si="8"/>
        <v/>
      </c>
      <c r="V170" s="153" t="str">
        <f t="shared" si="7"/>
        <v>#NAME?</v>
      </c>
    </row>
    <row r="171" ht="15.75" customHeight="1">
      <c r="O171" s="130"/>
      <c r="P171" s="130"/>
      <c r="Q171" s="130"/>
      <c r="R171" s="130"/>
      <c r="S171" s="130"/>
      <c r="T171" s="130" t="str">
        <f>'Scratch Pad'!G161</f>
        <v/>
      </c>
      <c r="U171" s="130" t="str">
        <f t="shared" si="8"/>
        <v/>
      </c>
      <c r="V171" s="153" t="str">
        <f t="shared" si="7"/>
        <v>#NAME?</v>
      </c>
    </row>
    <row r="172" ht="15.75" customHeight="1">
      <c r="O172" s="130"/>
      <c r="P172" s="130"/>
      <c r="Q172" s="130"/>
      <c r="R172" s="130"/>
      <c r="S172" s="130"/>
      <c r="T172" s="130" t="str">
        <f>'Scratch Pad'!G162</f>
        <v/>
      </c>
      <c r="U172" s="130" t="str">
        <f t="shared" si="8"/>
        <v/>
      </c>
      <c r="V172" s="153" t="str">
        <f t="shared" si="7"/>
        <v>#NAME?</v>
      </c>
    </row>
    <row r="173" ht="15.75" customHeight="1">
      <c r="O173" s="130"/>
      <c r="P173" s="130"/>
      <c r="Q173" s="130"/>
      <c r="R173" s="130"/>
      <c r="S173" s="130"/>
      <c r="T173" s="130" t="str">
        <f>'Scratch Pad'!G163</f>
        <v/>
      </c>
      <c r="U173" s="130" t="str">
        <f t="shared" si="8"/>
        <v/>
      </c>
      <c r="V173" s="153" t="str">
        <f t="shared" si="7"/>
        <v>#NAME?</v>
      </c>
    </row>
    <row r="174" ht="15.75" customHeight="1">
      <c r="O174" s="130"/>
      <c r="P174" s="130"/>
      <c r="Q174" s="130"/>
      <c r="R174" s="130"/>
      <c r="S174" s="130"/>
      <c r="T174" s="130" t="str">
        <f>'Scratch Pad'!G164</f>
        <v/>
      </c>
      <c r="U174" s="130" t="str">
        <f t="shared" si="8"/>
        <v/>
      </c>
      <c r="V174" s="153" t="str">
        <f t="shared" si="7"/>
        <v>#NAME?</v>
      </c>
    </row>
    <row r="175" ht="15.75" customHeight="1">
      <c r="O175" s="130"/>
      <c r="P175" s="130"/>
      <c r="Q175" s="130"/>
      <c r="R175" s="130"/>
      <c r="S175" s="130"/>
      <c r="T175" s="130" t="str">
        <f>'Scratch Pad'!G165</f>
        <v/>
      </c>
      <c r="U175" s="130" t="str">
        <f t="shared" si="8"/>
        <v/>
      </c>
      <c r="V175" s="153" t="str">
        <f t="shared" si="7"/>
        <v>#NAME?</v>
      </c>
    </row>
    <row r="176" ht="15.75" customHeight="1">
      <c r="O176" s="130"/>
      <c r="P176" s="130"/>
      <c r="Q176" s="130"/>
      <c r="R176" s="130"/>
      <c r="S176" s="130"/>
      <c r="T176" s="130" t="str">
        <f>'Scratch Pad'!G166</f>
        <v/>
      </c>
      <c r="U176" s="130" t="str">
        <f t="shared" si="8"/>
        <v/>
      </c>
      <c r="V176" s="153" t="str">
        <f t="shared" si="7"/>
        <v>#NAME?</v>
      </c>
    </row>
    <row r="177" ht="15.75" customHeight="1">
      <c r="O177" s="130"/>
      <c r="P177" s="130"/>
      <c r="Q177" s="130"/>
      <c r="R177" s="130"/>
      <c r="S177" s="130"/>
      <c r="T177" s="130" t="str">
        <f>'Scratch Pad'!G167</f>
        <v/>
      </c>
      <c r="U177" s="130" t="str">
        <f t="shared" si="8"/>
        <v/>
      </c>
      <c r="V177" s="153" t="str">
        <f t="shared" si="7"/>
        <v>#NAME?</v>
      </c>
    </row>
    <row r="178" ht="15.75" customHeight="1">
      <c r="O178" s="130"/>
      <c r="P178" s="130"/>
      <c r="Q178" s="130"/>
      <c r="R178" s="130"/>
      <c r="S178" s="130"/>
      <c r="T178" s="130" t="str">
        <f>'Scratch Pad'!G168</f>
        <v/>
      </c>
      <c r="U178" s="130" t="str">
        <f t="shared" si="8"/>
        <v/>
      </c>
      <c r="V178" s="153" t="str">
        <f t="shared" si="7"/>
        <v>#NAME?</v>
      </c>
    </row>
    <row r="179" ht="15.75" customHeight="1">
      <c r="O179" s="130"/>
      <c r="P179" s="130"/>
      <c r="Q179" s="130"/>
      <c r="R179" s="130"/>
      <c r="S179" s="130"/>
      <c r="T179" s="130" t="str">
        <f>'Scratch Pad'!G169</f>
        <v/>
      </c>
      <c r="U179" s="130" t="str">
        <f t="shared" si="8"/>
        <v/>
      </c>
      <c r="V179" s="153" t="str">
        <f t="shared" si="7"/>
        <v>#NAME?</v>
      </c>
    </row>
    <row r="180" ht="15.75" customHeight="1">
      <c r="O180" s="130"/>
      <c r="P180" s="130"/>
      <c r="Q180" s="130"/>
      <c r="R180" s="130"/>
      <c r="S180" s="130"/>
      <c r="T180" s="130" t="str">
        <f>'Scratch Pad'!G170</f>
        <v/>
      </c>
      <c r="U180" s="130" t="str">
        <f t="shared" si="8"/>
        <v/>
      </c>
      <c r="V180" s="153" t="str">
        <f t="shared" si="7"/>
        <v>#NAME?</v>
      </c>
    </row>
    <row r="181" ht="15.75" customHeight="1">
      <c r="O181" s="130"/>
      <c r="P181" s="130"/>
      <c r="Q181" s="130"/>
      <c r="R181" s="130"/>
      <c r="S181" s="130"/>
      <c r="T181" s="130" t="str">
        <f>'Scratch Pad'!G171</f>
        <v/>
      </c>
      <c r="U181" s="130" t="str">
        <f t="shared" si="8"/>
        <v/>
      </c>
      <c r="V181" s="153" t="str">
        <f t="shared" si="7"/>
        <v>#NAME?</v>
      </c>
    </row>
    <row r="182" ht="15.75" customHeight="1">
      <c r="O182" s="130"/>
      <c r="P182" s="130"/>
      <c r="Q182" s="130"/>
      <c r="R182" s="130"/>
      <c r="S182" s="130"/>
      <c r="T182" s="130" t="str">
        <f>'Scratch Pad'!G172</f>
        <v/>
      </c>
      <c r="U182" s="130" t="str">
        <f t="shared" si="8"/>
        <v/>
      </c>
      <c r="V182" s="153" t="str">
        <f t="shared" si="7"/>
        <v>#NAME?</v>
      </c>
    </row>
    <row r="183" ht="15.75" customHeight="1">
      <c r="O183" s="130"/>
      <c r="P183" s="130"/>
      <c r="Q183" s="130"/>
      <c r="R183" s="130"/>
      <c r="S183" s="130"/>
      <c r="T183" s="130" t="str">
        <f>'Scratch Pad'!G173</f>
        <v/>
      </c>
      <c r="U183" s="130" t="str">
        <f t="shared" si="8"/>
        <v/>
      </c>
      <c r="V183" s="153" t="str">
        <f t="shared" si="7"/>
        <v>#NAME?</v>
      </c>
    </row>
    <row r="184" ht="15.75" customHeight="1">
      <c r="O184" s="130"/>
      <c r="P184" s="130"/>
      <c r="Q184" s="130"/>
      <c r="R184" s="130"/>
      <c r="S184" s="130"/>
      <c r="T184" s="130" t="str">
        <f>'Scratch Pad'!G174</f>
        <v/>
      </c>
      <c r="U184" s="130" t="str">
        <f t="shared" si="8"/>
        <v/>
      </c>
      <c r="V184" s="153" t="str">
        <f t="shared" si="7"/>
        <v>#NAME?</v>
      </c>
    </row>
    <row r="185" ht="15.75" customHeight="1">
      <c r="O185" s="130"/>
      <c r="P185" s="130"/>
      <c r="Q185" s="130"/>
      <c r="R185" s="130"/>
      <c r="S185" s="130"/>
      <c r="T185" s="130" t="str">
        <f>'Scratch Pad'!G175</f>
        <v/>
      </c>
      <c r="U185" s="130" t="str">
        <f t="shared" si="8"/>
        <v/>
      </c>
      <c r="V185" s="153" t="str">
        <f t="shared" si="7"/>
        <v>#NAME?</v>
      </c>
    </row>
    <row r="186" ht="15.75" customHeight="1">
      <c r="O186" s="130"/>
      <c r="P186" s="130"/>
      <c r="Q186" s="130"/>
      <c r="R186" s="130"/>
      <c r="S186" s="130"/>
      <c r="T186" s="130" t="str">
        <f>'Scratch Pad'!G176</f>
        <v/>
      </c>
      <c r="U186" s="130" t="str">
        <f t="shared" si="8"/>
        <v/>
      </c>
      <c r="V186" s="153" t="str">
        <f t="shared" si="7"/>
        <v>#NAME?</v>
      </c>
    </row>
    <row r="187" ht="15.75" customHeight="1">
      <c r="O187" s="130"/>
      <c r="P187" s="130"/>
      <c r="Q187" s="130"/>
      <c r="R187" s="130"/>
      <c r="S187" s="130"/>
      <c r="T187" s="130" t="str">
        <f>'Scratch Pad'!G177</f>
        <v/>
      </c>
      <c r="U187" s="130" t="str">
        <f t="shared" si="8"/>
        <v/>
      </c>
      <c r="V187" s="153" t="str">
        <f t="shared" si="7"/>
        <v>#NAME?</v>
      </c>
    </row>
    <row r="188" ht="15.75" customHeight="1">
      <c r="O188" s="130"/>
      <c r="P188" s="130"/>
      <c r="Q188" s="130"/>
      <c r="R188" s="130"/>
      <c r="S188" s="130"/>
      <c r="T188" s="130" t="str">
        <f>'Scratch Pad'!G178</f>
        <v/>
      </c>
      <c r="U188" s="130" t="str">
        <f t="shared" si="8"/>
        <v/>
      </c>
      <c r="V188" s="153" t="str">
        <f t="shared" si="7"/>
        <v>#NAME?</v>
      </c>
    </row>
    <row r="189" ht="15.75" customHeight="1">
      <c r="O189" s="130"/>
      <c r="P189" s="130"/>
      <c r="Q189" s="130"/>
      <c r="R189" s="130"/>
      <c r="S189" s="130"/>
      <c r="T189" s="130" t="str">
        <f>'Scratch Pad'!G179</f>
        <v/>
      </c>
      <c r="U189" s="130" t="str">
        <f t="shared" si="8"/>
        <v/>
      </c>
      <c r="V189" s="153" t="str">
        <f t="shared" si="7"/>
        <v>#NAME?</v>
      </c>
    </row>
    <row r="190" ht="15.75" customHeight="1">
      <c r="O190" s="130"/>
      <c r="P190" s="130"/>
      <c r="Q190" s="130"/>
      <c r="R190" s="130"/>
      <c r="S190" s="130"/>
      <c r="T190" s="130" t="str">
        <f>'Scratch Pad'!G180</f>
        <v/>
      </c>
      <c r="U190" s="130" t="str">
        <f t="shared" si="8"/>
        <v/>
      </c>
      <c r="V190" s="153" t="str">
        <f t="shared" si="7"/>
        <v>#NAME?</v>
      </c>
    </row>
    <row r="191" ht="15.75" customHeight="1">
      <c r="O191" s="130"/>
      <c r="P191" s="130"/>
      <c r="Q191" s="130"/>
      <c r="R191" s="130"/>
      <c r="S191" s="130"/>
      <c r="T191" s="130" t="str">
        <f>'Scratch Pad'!G181</f>
        <v/>
      </c>
      <c r="U191" s="130" t="str">
        <f t="shared" si="8"/>
        <v/>
      </c>
      <c r="V191" s="153" t="str">
        <f t="shared" si="7"/>
        <v>#NAME?</v>
      </c>
    </row>
    <row r="192" ht="15.75" customHeight="1">
      <c r="O192" s="130"/>
      <c r="P192" s="130"/>
      <c r="Q192" s="130"/>
      <c r="R192" s="130"/>
      <c r="S192" s="130"/>
      <c r="T192" s="130" t="str">
        <f>'Scratch Pad'!G182</f>
        <v/>
      </c>
      <c r="U192" s="130" t="str">
        <f t="shared" si="8"/>
        <v/>
      </c>
      <c r="V192" s="153" t="str">
        <f t="shared" si="7"/>
        <v>#NAME?</v>
      </c>
    </row>
    <row r="193" ht="15.75" customHeight="1">
      <c r="O193" s="130"/>
      <c r="P193" s="130"/>
      <c r="Q193" s="130"/>
      <c r="R193" s="130"/>
      <c r="S193" s="130"/>
      <c r="T193" s="130" t="str">
        <f>'Scratch Pad'!G183</f>
        <v/>
      </c>
      <c r="U193" s="130" t="str">
        <f t="shared" si="8"/>
        <v/>
      </c>
      <c r="V193" s="153" t="str">
        <f t="shared" si="7"/>
        <v>#NAME?</v>
      </c>
    </row>
    <row r="194" ht="15.75" customHeight="1">
      <c r="O194" s="130"/>
      <c r="P194" s="130"/>
      <c r="Q194" s="130"/>
      <c r="R194" s="130"/>
      <c r="S194" s="130"/>
      <c r="T194" s="130" t="str">
        <f>'Scratch Pad'!G184</f>
        <v/>
      </c>
      <c r="U194" s="130" t="str">
        <f t="shared" si="8"/>
        <v/>
      </c>
      <c r="V194" s="153" t="str">
        <f t="shared" si="7"/>
        <v>#NAME?</v>
      </c>
    </row>
    <row r="195" ht="15.75" customHeight="1">
      <c r="O195" s="130"/>
      <c r="P195" s="130"/>
      <c r="Q195" s="130"/>
      <c r="R195" s="130"/>
      <c r="S195" s="130"/>
      <c r="T195" s="130" t="str">
        <f>'Scratch Pad'!G185</f>
        <v/>
      </c>
      <c r="U195" s="130" t="str">
        <f t="shared" si="8"/>
        <v/>
      </c>
      <c r="V195" s="153" t="str">
        <f t="shared" si="7"/>
        <v>#NAME?</v>
      </c>
    </row>
    <row r="196" ht="15.75" customHeight="1">
      <c r="O196" s="130"/>
      <c r="P196" s="130"/>
      <c r="Q196" s="130"/>
      <c r="R196" s="130"/>
      <c r="S196" s="130"/>
      <c r="T196" s="130" t="str">
        <f>'Scratch Pad'!G186</f>
        <v/>
      </c>
      <c r="U196" s="130" t="str">
        <f t="shared" si="8"/>
        <v/>
      </c>
      <c r="V196" s="153" t="str">
        <f t="shared" si="7"/>
        <v>#NAME?</v>
      </c>
    </row>
    <row r="197" ht="15.75" customHeight="1">
      <c r="O197" s="130"/>
      <c r="P197" s="130"/>
      <c r="Q197" s="130"/>
      <c r="R197" s="130"/>
      <c r="S197" s="130"/>
      <c r="T197" s="130" t="str">
        <f>'Scratch Pad'!G187</f>
        <v/>
      </c>
      <c r="U197" s="130" t="str">
        <f t="shared" si="8"/>
        <v/>
      </c>
      <c r="V197" s="153" t="str">
        <f t="shared" si="7"/>
        <v>#NAME?</v>
      </c>
    </row>
    <row r="198" ht="15.75" customHeight="1">
      <c r="O198" s="130"/>
      <c r="P198" s="130"/>
      <c r="Q198" s="130"/>
      <c r="R198" s="130"/>
      <c r="S198" s="130"/>
      <c r="T198" s="130" t="str">
        <f>'Scratch Pad'!G188</f>
        <v/>
      </c>
      <c r="U198" s="130" t="str">
        <f t="shared" si="8"/>
        <v/>
      </c>
      <c r="V198" s="153" t="str">
        <f t="shared" si="7"/>
        <v>#NAME?</v>
      </c>
    </row>
    <row r="199" ht="15.75" customHeight="1">
      <c r="O199" s="130"/>
      <c r="P199" s="130"/>
      <c r="Q199" s="130"/>
      <c r="R199" s="130"/>
      <c r="S199" s="130"/>
      <c r="T199" s="130" t="str">
        <f>'Scratch Pad'!G189</f>
        <v/>
      </c>
      <c r="U199" s="130" t="str">
        <f t="shared" si="8"/>
        <v/>
      </c>
      <c r="V199" s="153" t="str">
        <f t="shared" si="7"/>
        <v>#NAME?</v>
      </c>
    </row>
    <row r="200" ht="15.75" customHeight="1">
      <c r="O200" s="130"/>
      <c r="P200" s="130"/>
      <c r="Q200" s="130"/>
      <c r="R200" s="130"/>
      <c r="S200" s="130"/>
      <c r="T200" s="130" t="str">
        <f>'Scratch Pad'!G190</f>
        <v/>
      </c>
      <c r="U200" s="130" t="str">
        <f t="shared" si="8"/>
        <v/>
      </c>
      <c r="V200" s="153" t="str">
        <f t="shared" si="7"/>
        <v>#NAME?</v>
      </c>
    </row>
    <row r="201" ht="15.75" customHeight="1">
      <c r="O201" s="130"/>
      <c r="P201" s="130"/>
      <c r="Q201" s="130"/>
      <c r="R201" s="130"/>
      <c r="S201" s="130"/>
      <c r="T201" s="130" t="str">
        <f>'Scratch Pad'!G191</f>
        <v/>
      </c>
      <c r="U201" s="130" t="str">
        <f t="shared" si="8"/>
        <v/>
      </c>
      <c r="V201" s="153" t="str">
        <f t="shared" si="7"/>
        <v>#NAME?</v>
      </c>
    </row>
    <row r="202" ht="15.75" customHeight="1">
      <c r="O202" s="130"/>
      <c r="P202" s="130"/>
      <c r="Q202" s="130"/>
      <c r="R202" s="130"/>
      <c r="S202" s="130"/>
      <c r="T202" s="130" t="str">
        <f>'Scratch Pad'!G192</f>
        <v/>
      </c>
      <c r="U202" s="130" t="str">
        <f t="shared" si="8"/>
        <v/>
      </c>
      <c r="V202" s="153" t="str">
        <f t="shared" si="7"/>
        <v>#NAME?</v>
      </c>
    </row>
    <row r="203" ht="15.75" customHeight="1">
      <c r="O203" s="130"/>
      <c r="P203" s="130"/>
      <c r="Q203" s="130"/>
      <c r="R203" s="130"/>
      <c r="S203" s="130"/>
      <c r="T203" s="130" t="str">
        <f>'Scratch Pad'!G193</f>
        <v/>
      </c>
      <c r="U203" s="130" t="str">
        <f t="shared" si="8"/>
        <v/>
      </c>
      <c r="V203" s="153" t="str">
        <f t="shared" si="7"/>
        <v>#NAME?</v>
      </c>
    </row>
    <row r="204" ht="15.75" customHeight="1">
      <c r="O204" s="130"/>
      <c r="P204" s="130"/>
      <c r="Q204" s="130"/>
      <c r="R204" s="130"/>
      <c r="S204" s="130"/>
      <c r="T204" s="130" t="str">
        <f>'Scratch Pad'!G194</f>
        <v/>
      </c>
      <c r="U204" s="130" t="str">
        <f t="shared" si="8"/>
        <v/>
      </c>
      <c r="V204" s="153" t="str">
        <f t="shared" si="7"/>
        <v>#NAME?</v>
      </c>
    </row>
    <row r="205" ht="15.75" customHeight="1">
      <c r="O205" s="130"/>
      <c r="P205" s="130"/>
      <c r="Q205" s="130"/>
      <c r="R205" s="130"/>
      <c r="S205" s="130"/>
      <c r="T205" s="130" t="str">
        <f>'Scratch Pad'!G195</f>
        <v/>
      </c>
      <c r="U205" s="130" t="str">
        <f t="shared" si="8"/>
        <v/>
      </c>
      <c r="V205" s="153" t="str">
        <f t="shared" si="7"/>
        <v>#NAME?</v>
      </c>
    </row>
    <row r="206" ht="15.75" customHeight="1">
      <c r="O206" s="130"/>
      <c r="P206" s="130"/>
      <c r="Q206" s="130"/>
      <c r="R206" s="130"/>
      <c r="S206" s="130"/>
      <c r="T206" s="130" t="str">
        <f>'Scratch Pad'!G196</f>
        <v/>
      </c>
      <c r="U206" s="130" t="str">
        <f t="shared" si="8"/>
        <v/>
      </c>
      <c r="V206" s="153" t="str">
        <f t="shared" si="7"/>
        <v>#NAME?</v>
      </c>
    </row>
    <row r="207" ht="15.75" customHeight="1">
      <c r="O207" s="130"/>
      <c r="P207" s="130"/>
      <c r="Q207" s="130"/>
      <c r="R207" s="130"/>
      <c r="S207" s="130"/>
      <c r="T207" s="130" t="str">
        <f>'Scratch Pad'!G197</f>
        <v/>
      </c>
      <c r="U207" s="130" t="str">
        <f t="shared" si="8"/>
        <v/>
      </c>
      <c r="V207" s="153" t="str">
        <f t="shared" si="7"/>
        <v>#NAME?</v>
      </c>
    </row>
    <row r="208" ht="15.75" customHeight="1">
      <c r="O208" s="130"/>
      <c r="P208" s="130"/>
      <c r="Q208" s="130"/>
      <c r="R208" s="130"/>
      <c r="S208" s="130"/>
      <c r="T208" s="130" t="str">
        <f>'Scratch Pad'!G198</f>
        <v/>
      </c>
      <c r="U208" s="130" t="str">
        <f t="shared" si="8"/>
        <v/>
      </c>
      <c r="V208" s="153" t="str">
        <f t="shared" si="7"/>
        <v>#NAME?</v>
      </c>
    </row>
    <row r="209" ht="15.75" customHeight="1">
      <c r="O209" s="130"/>
      <c r="P209" s="130"/>
      <c r="Q209" s="130"/>
      <c r="R209" s="130"/>
      <c r="S209" s="130"/>
      <c r="T209" s="130" t="str">
        <f>'Scratch Pad'!G199</f>
        <v/>
      </c>
      <c r="U209" s="130" t="str">
        <f t="shared" si="8"/>
        <v/>
      </c>
      <c r="V209" s="153" t="str">
        <f t="shared" si="7"/>
        <v>#NAME?</v>
      </c>
    </row>
    <row r="210" ht="15.75" customHeight="1">
      <c r="O210" s="130"/>
      <c r="P210" s="130"/>
      <c r="Q210" s="130"/>
      <c r="R210" s="130"/>
      <c r="S210" s="130"/>
      <c r="T210" s="130" t="str">
        <f>'Scratch Pad'!G200</f>
        <v/>
      </c>
      <c r="U210" s="130" t="str">
        <f t="shared" si="8"/>
        <v/>
      </c>
      <c r="V210" s="153" t="str">
        <f t="shared" si="7"/>
        <v>#NAME?</v>
      </c>
    </row>
    <row r="211" ht="15.75" customHeight="1">
      <c r="O211" s="130"/>
      <c r="P211" s="130"/>
      <c r="Q211" s="130"/>
      <c r="R211" s="130"/>
      <c r="S211" s="130"/>
      <c r="T211" s="130" t="str">
        <f>'Scratch Pad'!G201</f>
        <v/>
      </c>
      <c r="U211" s="130" t="str">
        <f t="shared" si="8"/>
        <v/>
      </c>
      <c r="V211" s="153" t="str">
        <f t="shared" si="7"/>
        <v>#NAME?</v>
      </c>
    </row>
    <row r="212" ht="15.75" customHeight="1">
      <c r="O212" s="130"/>
      <c r="P212" s="130"/>
      <c r="Q212" s="130"/>
      <c r="R212" s="130"/>
      <c r="S212" s="130"/>
      <c r="T212" s="130" t="str">
        <f>'Scratch Pad'!G202</f>
        <v/>
      </c>
      <c r="U212" s="130" t="str">
        <f t="shared" si="8"/>
        <v/>
      </c>
      <c r="V212" s="153" t="str">
        <f t="shared" si="7"/>
        <v>#NAME?</v>
      </c>
    </row>
    <row r="213" ht="15.75" customHeight="1">
      <c r="O213" s="130"/>
      <c r="P213" s="130"/>
      <c r="Q213" s="130"/>
      <c r="R213" s="130"/>
      <c r="S213" s="130"/>
      <c r="T213" s="130" t="str">
        <f>'Scratch Pad'!G203</f>
        <v/>
      </c>
      <c r="U213" s="130" t="str">
        <f t="shared" si="8"/>
        <v/>
      </c>
      <c r="V213" s="153" t="str">
        <f t="shared" si="7"/>
        <v>#NAME?</v>
      </c>
    </row>
    <row r="214" ht="15.75" customHeight="1">
      <c r="O214" s="130"/>
      <c r="P214" s="130"/>
      <c r="Q214" s="130"/>
      <c r="R214" s="130"/>
      <c r="S214" s="130"/>
      <c r="T214" s="130" t="str">
        <f>'Scratch Pad'!G204</f>
        <v/>
      </c>
      <c r="U214" s="130" t="str">
        <f t="shared" si="8"/>
        <v/>
      </c>
      <c r="V214" s="153" t="str">
        <f t="shared" si="7"/>
        <v>#NAME?</v>
      </c>
    </row>
    <row r="215" ht="15.75" customHeight="1">
      <c r="O215" s="130"/>
      <c r="P215" s="130"/>
      <c r="Q215" s="130"/>
      <c r="R215" s="130"/>
      <c r="S215" s="130"/>
      <c r="T215" s="130"/>
      <c r="U215" s="130"/>
      <c r="V215" s="130"/>
    </row>
    <row r="216" ht="15.75" customHeight="1">
      <c r="O216" s="130"/>
      <c r="P216" s="130"/>
      <c r="Q216" s="130"/>
      <c r="R216" s="130"/>
      <c r="S216" s="130"/>
      <c r="T216" s="130"/>
      <c r="U216" s="130"/>
      <c r="V216" s="130"/>
    </row>
    <row r="217" ht="15.75" customHeight="1">
      <c r="O217" s="130"/>
      <c r="P217" s="130"/>
      <c r="Q217" s="130"/>
      <c r="R217" s="130"/>
      <c r="S217" s="130"/>
      <c r="T217" s="130"/>
      <c r="U217" s="130"/>
      <c r="V217" s="130"/>
    </row>
    <row r="218" ht="15.75" customHeight="1">
      <c r="O218" s="130"/>
      <c r="P218" s="130"/>
      <c r="Q218" s="130"/>
      <c r="R218" s="130"/>
      <c r="S218" s="130"/>
      <c r="T218" s="130"/>
      <c r="U218" s="130"/>
      <c r="V218" s="130"/>
    </row>
    <row r="219" ht="15.75" customHeight="1">
      <c r="O219" s="130"/>
      <c r="P219" s="130"/>
      <c r="Q219" s="130"/>
      <c r="R219" s="130"/>
      <c r="S219" s="130"/>
      <c r="T219" s="130"/>
      <c r="U219" s="130"/>
      <c r="V219" s="130"/>
    </row>
    <row r="220" ht="15.75" customHeight="1">
      <c r="O220" s="130"/>
      <c r="P220" s="130"/>
      <c r="Q220" s="130"/>
      <c r="R220" s="130"/>
      <c r="S220" s="130"/>
      <c r="T220" s="130"/>
      <c r="U220" s="130"/>
      <c r="V220" s="130"/>
    </row>
    <row r="221" ht="15.75" customHeight="1">
      <c r="O221" s="130"/>
      <c r="P221" s="130"/>
      <c r="Q221" s="130"/>
      <c r="R221" s="130"/>
      <c r="S221" s="130"/>
      <c r="T221" s="130"/>
      <c r="U221" s="130"/>
      <c r="V221" s="130"/>
    </row>
    <row r="222" ht="15.75" customHeight="1">
      <c r="O222" s="130"/>
      <c r="P222" s="130"/>
      <c r="Q222" s="130"/>
      <c r="R222" s="130"/>
      <c r="S222" s="130"/>
      <c r="T222" s="130"/>
      <c r="U222" s="130"/>
      <c r="V222" s="130"/>
    </row>
    <row r="223" ht="15.75" customHeight="1">
      <c r="O223" s="130"/>
      <c r="P223" s="130"/>
      <c r="Q223" s="130"/>
      <c r="R223" s="130"/>
      <c r="S223" s="130"/>
      <c r="T223" s="130"/>
      <c r="U223" s="130"/>
      <c r="V223" s="130"/>
    </row>
    <row r="224" ht="15.75" customHeight="1">
      <c r="O224" s="130"/>
      <c r="P224" s="130"/>
      <c r="Q224" s="130"/>
      <c r="R224" s="130"/>
      <c r="S224" s="130"/>
      <c r="T224" s="130"/>
      <c r="U224" s="130"/>
      <c r="V224" s="130"/>
    </row>
    <row r="225" ht="15.75" customHeight="1">
      <c r="O225" s="130"/>
      <c r="P225" s="130"/>
      <c r="Q225" s="130"/>
      <c r="R225" s="130"/>
      <c r="S225" s="130"/>
      <c r="T225" s="130"/>
      <c r="U225" s="130"/>
      <c r="V225" s="130"/>
    </row>
    <row r="226" ht="15.75" customHeight="1">
      <c r="O226" s="130"/>
      <c r="P226" s="130"/>
      <c r="Q226" s="130"/>
      <c r="R226" s="130"/>
      <c r="S226" s="130"/>
      <c r="T226" s="130"/>
      <c r="U226" s="130"/>
      <c r="V226" s="130"/>
    </row>
    <row r="227" ht="15.75" customHeight="1">
      <c r="O227" s="130"/>
      <c r="P227" s="130"/>
      <c r="Q227" s="130"/>
      <c r="R227" s="130"/>
      <c r="S227" s="130"/>
      <c r="T227" s="130"/>
      <c r="U227" s="130"/>
      <c r="V227" s="130"/>
    </row>
    <row r="228" ht="15.75" customHeight="1">
      <c r="O228" s="130"/>
      <c r="P228" s="130"/>
      <c r="Q228" s="130"/>
      <c r="R228" s="130"/>
      <c r="S228" s="130"/>
      <c r="T228" s="130"/>
      <c r="U228" s="130"/>
      <c r="V228" s="130"/>
    </row>
    <row r="229" ht="15.75" customHeight="1">
      <c r="O229" s="130"/>
      <c r="P229" s="130"/>
      <c r="Q229" s="130"/>
      <c r="R229" s="130"/>
      <c r="S229" s="130"/>
      <c r="T229" s="130"/>
      <c r="U229" s="130"/>
      <c r="V229" s="130"/>
    </row>
    <row r="230" ht="15.75" customHeight="1">
      <c r="O230" s="130"/>
      <c r="P230" s="130"/>
      <c r="Q230" s="130"/>
      <c r="R230" s="130"/>
      <c r="S230" s="130"/>
      <c r="T230" s="130"/>
      <c r="U230" s="130"/>
      <c r="V230" s="130"/>
    </row>
    <row r="231" ht="15.75" customHeight="1">
      <c r="O231" s="130"/>
      <c r="P231" s="130"/>
      <c r="Q231" s="130"/>
      <c r="R231" s="130"/>
      <c r="S231" s="130"/>
      <c r="T231" s="130"/>
      <c r="U231" s="130"/>
      <c r="V231" s="130"/>
    </row>
    <row r="232" ht="15.75" customHeight="1">
      <c r="O232" s="130"/>
      <c r="P232" s="130"/>
      <c r="Q232" s="130"/>
      <c r="R232" s="130"/>
      <c r="S232" s="130"/>
      <c r="T232" s="130"/>
      <c r="U232" s="130"/>
      <c r="V232" s="130"/>
    </row>
    <row r="233" ht="15.75" customHeight="1">
      <c r="O233" s="130"/>
      <c r="P233" s="130"/>
      <c r="Q233" s="130"/>
      <c r="R233" s="130"/>
      <c r="S233" s="130"/>
      <c r="T233" s="130"/>
      <c r="U233" s="130"/>
      <c r="V233" s="130"/>
    </row>
    <row r="234" ht="15.75" customHeight="1">
      <c r="O234" s="130"/>
      <c r="P234" s="130"/>
      <c r="Q234" s="130"/>
      <c r="R234" s="130"/>
      <c r="S234" s="130"/>
      <c r="T234" s="130"/>
      <c r="U234" s="130"/>
      <c r="V234" s="130"/>
    </row>
    <row r="235" ht="15.75" customHeight="1">
      <c r="O235" s="130"/>
      <c r="P235" s="130"/>
      <c r="Q235" s="130"/>
      <c r="R235" s="130"/>
      <c r="S235" s="130"/>
      <c r="T235" s="130"/>
      <c r="U235" s="130"/>
      <c r="V235" s="130"/>
    </row>
    <row r="236" ht="15.75" customHeight="1">
      <c r="O236" s="130"/>
      <c r="P236" s="130"/>
      <c r="Q236" s="130"/>
      <c r="R236" s="130"/>
      <c r="S236" s="130"/>
      <c r="T236" s="130"/>
      <c r="U236" s="130"/>
      <c r="V236" s="130"/>
    </row>
    <row r="237" ht="15.75" customHeight="1">
      <c r="O237" s="130"/>
      <c r="P237" s="130"/>
      <c r="Q237" s="130"/>
      <c r="R237" s="130"/>
      <c r="S237" s="130"/>
      <c r="T237" s="130"/>
      <c r="U237" s="130"/>
      <c r="V237" s="130"/>
    </row>
    <row r="238" ht="15.75" customHeight="1">
      <c r="O238" s="130"/>
      <c r="P238" s="130"/>
      <c r="Q238" s="130"/>
      <c r="R238" s="130"/>
      <c r="S238" s="130"/>
      <c r="T238" s="130"/>
      <c r="U238" s="130"/>
      <c r="V238" s="130"/>
    </row>
    <row r="239" ht="15.75" customHeight="1">
      <c r="O239" s="130"/>
      <c r="P239" s="130"/>
      <c r="Q239" s="130"/>
      <c r="R239" s="130"/>
      <c r="S239" s="130"/>
      <c r="T239" s="130"/>
      <c r="U239" s="130"/>
      <c r="V239" s="130"/>
    </row>
    <row r="240" ht="15.75" customHeight="1">
      <c r="O240" s="130"/>
      <c r="P240" s="130"/>
      <c r="Q240" s="130"/>
      <c r="R240" s="130"/>
      <c r="S240" s="130"/>
      <c r="T240" s="130"/>
      <c r="U240" s="130"/>
      <c r="V240" s="130"/>
    </row>
    <row r="241" ht="15.75" customHeight="1">
      <c r="O241" s="130"/>
      <c r="P241" s="130"/>
      <c r="Q241" s="130"/>
      <c r="R241" s="130"/>
      <c r="S241" s="130"/>
      <c r="T241" s="130"/>
      <c r="U241" s="130"/>
      <c r="V241" s="130"/>
    </row>
    <row r="242" ht="15.75" customHeight="1">
      <c r="O242" s="130"/>
      <c r="P242" s="130"/>
      <c r="Q242" s="130"/>
      <c r="R242" s="130"/>
      <c r="S242" s="130"/>
      <c r="T242" s="130"/>
      <c r="U242" s="130"/>
      <c r="V242" s="130"/>
    </row>
    <row r="243" ht="15.75" customHeight="1">
      <c r="O243" s="130"/>
      <c r="P243" s="130"/>
      <c r="Q243" s="130"/>
      <c r="R243" s="130"/>
      <c r="S243" s="130"/>
      <c r="T243" s="130"/>
      <c r="U243" s="130"/>
      <c r="V243" s="130"/>
    </row>
    <row r="244" ht="15.75" customHeight="1">
      <c r="O244" s="130"/>
      <c r="P244" s="130"/>
      <c r="Q244" s="130"/>
      <c r="R244" s="130"/>
      <c r="S244" s="130"/>
      <c r="T244" s="130"/>
      <c r="U244" s="130"/>
      <c r="V244" s="130"/>
    </row>
    <row r="245" ht="15.75" customHeight="1">
      <c r="O245" s="130"/>
      <c r="P245" s="130"/>
      <c r="Q245" s="130"/>
      <c r="R245" s="130"/>
      <c r="S245" s="130"/>
      <c r="T245" s="130"/>
      <c r="U245" s="130"/>
      <c r="V245" s="130"/>
    </row>
    <row r="246" ht="15.75" customHeight="1">
      <c r="O246" s="130"/>
      <c r="P246" s="130"/>
      <c r="Q246" s="130"/>
      <c r="R246" s="130"/>
      <c r="S246" s="130"/>
      <c r="T246" s="130"/>
      <c r="U246" s="130"/>
      <c r="V246" s="130"/>
    </row>
    <row r="247" ht="15.75" customHeight="1">
      <c r="O247" s="130"/>
      <c r="P247" s="130"/>
      <c r="Q247" s="130"/>
      <c r="R247" s="130"/>
      <c r="S247" s="130"/>
      <c r="T247" s="130"/>
      <c r="U247" s="130"/>
      <c r="V247" s="130"/>
    </row>
    <row r="248" ht="15.75" customHeight="1">
      <c r="O248" s="130"/>
      <c r="P248" s="130"/>
      <c r="Q248" s="130"/>
      <c r="R248" s="130"/>
      <c r="S248" s="130"/>
      <c r="T248" s="130"/>
      <c r="U248" s="130"/>
      <c r="V248" s="130"/>
    </row>
    <row r="249" ht="15.75" customHeight="1">
      <c r="O249" s="130"/>
      <c r="P249" s="130"/>
      <c r="Q249" s="130"/>
      <c r="R249" s="130"/>
      <c r="S249" s="130"/>
      <c r="T249" s="130"/>
      <c r="U249" s="130"/>
      <c r="V249" s="130"/>
    </row>
    <row r="250" ht="15.75" customHeight="1">
      <c r="O250" s="130"/>
      <c r="P250" s="130"/>
      <c r="Q250" s="130"/>
      <c r="R250" s="130"/>
      <c r="S250" s="130"/>
      <c r="T250" s="130"/>
      <c r="U250" s="130"/>
      <c r="V250" s="130"/>
    </row>
    <row r="251" ht="15.75" customHeight="1">
      <c r="O251" s="130"/>
      <c r="P251" s="130"/>
      <c r="Q251" s="130"/>
      <c r="R251" s="130"/>
      <c r="S251" s="130"/>
      <c r="T251" s="130"/>
      <c r="U251" s="130"/>
      <c r="V251" s="130"/>
    </row>
    <row r="252" ht="15.75" customHeight="1">
      <c r="O252" s="130"/>
      <c r="P252" s="130"/>
      <c r="Q252" s="130"/>
      <c r="R252" s="130"/>
      <c r="S252" s="130"/>
      <c r="T252" s="130"/>
      <c r="U252" s="130"/>
      <c r="V252" s="130"/>
    </row>
    <row r="253" ht="15.75" customHeight="1">
      <c r="O253" s="130"/>
      <c r="P253" s="130"/>
      <c r="Q253" s="130"/>
      <c r="R253" s="130"/>
      <c r="S253" s="130"/>
      <c r="T253" s="130"/>
      <c r="U253" s="130"/>
      <c r="V253" s="130"/>
    </row>
    <row r="254" ht="15.75" customHeight="1">
      <c r="O254" s="130"/>
      <c r="P254" s="130"/>
      <c r="Q254" s="130"/>
      <c r="R254" s="130"/>
      <c r="S254" s="130"/>
      <c r="T254" s="130"/>
      <c r="U254" s="130"/>
      <c r="V254" s="130"/>
    </row>
    <row r="255" ht="15.75" customHeight="1">
      <c r="O255" s="130"/>
      <c r="P255" s="130"/>
      <c r="Q255" s="130"/>
      <c r="R255" s="130"/>
      <c r="S255" s="130"/>
      <c r="T255" s="130"/>
      <c r="U255" s="130"/>
      <c r="V255" s="130"/>
    </row>
    <row r="256" ht="15.75" customHeight="1">
      <c r="O256" s="130"/>
      <c r="P256" s="130"/>
      <c r="Q256" s="130"/>
      <c r="R256" s="130"/>
      <c r="S256" s="130"/>
      <c r="T256" s="130"/>
      <c r="U256" s="130"/>
      <c r="V256" s="130"/>
    </row>
    <row r="257" ht="15.75" customHeight="1">
      <c r="O257" s="130"/>
      <c r="P257" s="130"/>
      <c r="Q257" s="130"/>
      <c r="R257" s="130"/>
      <c r="S257" s="130"/>
      <c r="T257" s="130"/>
      <c r="U257" s="130"/>
      <c r="V257" s="130"/>
    </row>
    <row r="258" ht="15.75" customHeight="1">
      <c r="O258" s="130"/>
      <c r="P258" s="130"/>
      <c r="Q258" s="130"/>
      <c r="R258" s="130"/>
      <c r="S258" s="130"/>
      <c r="T258" s="130"/>
      <c r="U258" s="130"/>
      <c r="V258" s="130"/>
    </row>
    <row r="259" ht="15.75" customHeight="1">
      <c r="O259" s="130"/>
      <c r="P259" s="130"/>
      <c r="Q259" s="130"/>
      <c r="R259" s="130"/>
      <c r="S259" s="130"/>
      <c r="T259" s="130"/>
      <c r="U259" s="130"/>
      <c r="V259" s="130"/>
    </row>
    <row r="260" ht="15.75" customHeight="1">
      <c r="O260" s="130"/>
      <c r="P260" s="130"/>
      <c r="Q260" s="130"/>
      <c r="R260" s="130"/>
      <c r="S260" s="130"/>
      <c r="T260" s="130"/>
      <c r="U260" s="130"/>
      <c r="V260" s="130"/>
    </row>
    <row r="261" ht="15.75" customHeight="1">
      <c r="O261" s="130"/>
      <c r="P261" s="130"/>
      <c r="Q261" s="130"/>
      <c r="R261" s="130"/>
      <c r="S261" s="130"/>
      <c r="T261" s="130"/>
      <c r="U261" s="130"/>
      <c r="V261" s="130"/>
    </row>
    <row r="262" ht="15.75" customHeight="1">
      <c r="O262" s="130"/>
      <c r="P262" s="130"/>
      <c r="Q262" s="130"/>
      <c r="R262" s="130"/>
      <c r="S262" s="130"/>
      <c r="T262" s="130"/>
      <c r="U262" s="130"/>
      <c r="V262" s="130"/>
    </row>
    <row r="263" ht="15.75" customHeight="1">
      <c r="O263" s="130"/>
      <c r="P263" s="130"/>
      <c r="Q263" s="130"/>
      <c r="R263" s="130"/>
      <c r="S263" s="130"/>
      <c r="T263" s="130"/>
      <c r="U263" s="130"/>
      <c r="V263" s="130"/>
    </row>
    <row r="264" ht="15.75" customHeight="1">
      <c r="O264" s="130"/>
      <c r="P264" s="130"/>
      <c r="Q264" s="130"/>
      <c r="R264" s="130"/>
      <c r="S264" s="130"/>
      <c r="T264" s="130"/>
      <c r="U264" s="130"/>
      <c r="V264" s="130"/>
    </row>
    <row r="265" ht="15.75" customHeight="1">
      <c r="O265" s="130"/>
      <c r="P265" s="130"/>
      <c r="Q265" s="130"/>
      <c r="R265" s="130"/>
      <c r="S265" s="130"/>
      <c r="T265" s="130"/>
      <c r="U265" s="130"/>
      <c r="V265" s="130"/>
    </row>
    <row r="266" ht="15.75" customHeight="1">
      <c r="O266" s="130"/>
      <c r="P266" s="130"/>
      <c r="Q266" s="130"/>
      <c r="R266" s="130"/>
      <c r="S266" s="130"/>
      <c r="T266" s="130"/>
      <c r="U266" s="130"/>
      <c r="V266" s="130"/>
    </row>
    <row r="267" ht="15.75" customHeight="1">
      <c r="O267" s="130"/>
      <c r="P267" s="130"/>
      <c r="Q267" s="130"/>
      <c r="R267" s="130"/>
      <c r="S267" s="130"/>
      <c r="T267" s="130"/>
      <c r="U267" s="130"/>
      <c r="V267" s="130"/>
    </row>
    <row r="268" ht="15.75" customHeight="1">
      <c r="O268" s="130"/>
      <c r="P268" s="130"/>
      <c r="Q268" s="130"/>
      <c r="R268" s="130"/>
      <c r="S268" s="130"/>
      <c r="T268" s="130"/>
      <c r="U268" s="130"/>
      <c r="V268" s="130"/>
    </row>
    <row r="269" ht="15.75" customHeight="1">
      <c r="O269" s="130"/>
      <c r="P269" s="130"/>
      <c r="Q269" s="130"/>
      <c r="R269" s="130"/>
      <c r="S269" s="130"/>
      <c r="T269" s="130"/>
      <c r="U269" s="130"/>
      <c r="V269" s="130"/>
    </row>
    <row r="270" ht="15.75" customHeight="1">
      <c r="O270" s="130"/>
      <c r="P270" s="130"/>
      <c r="Q270" s="130"/>
      <c r="R270" s="130"/>
      <c r="S270" s="130"/>
      <c r="T270" s="130"/>
      <c r="U270" s="130"/>
      <c r="V270" s="130"/>
    </row>
    <row r="271" ht="15.75" customHeight="1">
      <c r="O271" s="130"/>
      <c r="P271" s="130"/>
      <c r="Q271" s="130"/>
      <c r="R271" s="130"/>
      <c r="S271" s="130"/>
      <c r="T271" s="130"/>
      <c r="U271" s="130"/>
      <c r="V271" s="130"/>
    </row>
    <row r="272" ht="15.75" customHeight="1">
      <c r="O272" s="130"/>
      <c r="P272" s="130"/>
      <c r="Q272" s="130"/>
      <c r="R272" s="130"/>
      <c r="S272" s="130"/>
      <c r="T272" s="130"/>
      <c r="U272" s="130"/>
      <c r="V272" s="130"/>
    </row>
    <row r="273" ht="15.75" customHeight="1">
      <c r="O273" s="130"/>
      <c r="P273" s="130"/>
      <c r="Q273" s="130"/>
      <c r="R273" s="130"/>
      <c r="S273" s="130"/>
      <c r="T273" s="130"/>
      <c r="U273" s="130"/>
      <c r="V273" s="130"/>
    </row>
    <row r="274" ht="15.75" customHeight="1">
      <c r="O274" s="130"/>
      <c r="P274" s="130"/>
      <c r="Q274" s="130"/>
      <c r="R274" s="130"/>
      <c r="S274" s="130"/>
      <c r="T274" s="130"/>
      <c r="U274" s="130"/>
      <c r="V274" s="130"/>
    </row>
    <row r="275" ht="15.75" customHeight="1">
      <c r="O275" s="130"/>
      <c r="P275" s="130"/>
      <c r="Q275" s="130"/>
      <c r="R275" s="130"/>
      <c r="S275" s="130"/>
      <c r="T275" s="130"/>
      <c r="U275" s="130"/>
      <c r="V275" s="130"/>
    </row>
    <row r="276" ht="15.75" customHeight="1">
      <c r="O276" s="130"/>
      <c r="P276" s="130"/>
      <c r="Q276" s="130"/>
      <c r="R276" s="130"/>
      <c r="S276" s="130"/>
      <c r="T276" s="130"/>
      <c r="U276" s="130"/>
      <c r="V276" s="130"/>
    </row>
    <row r="277" ht="15.75" customHeight="1">
      <c r="O277" s="130"/>
      <c r="P277" s="130"/>
      <c r="Q277" s="130"/>
      <c r="R277" s="130"/>
      <c r="S277" s="130"/>
      <c r="T277" s="130"/>
      <c r="U277" s="130"/>
      <c r="V277" s="130"/>
    </row>
    <row r="278" ht="15.75" customHeight="1">
      <c r="O278" s="130"/>
      <c r="P278" s="130"/>
      <c r="Q278" s="130"/>
      <c r="R278" s="130"/>
      <c r="S278" s="130"/>
      <c r="T278" s="130"/>
      <c r="U278" s="130"/>
      <c r="V278" s="130"/>
    </row>
    <row r="279" ht="15.75" customHeight="1">
      <c r="O279" s="130"/>
      <c r="P279" s="130"/>
      <c r="Q279" s="130"/>
      <c r="R279" s="130"/>
      <c r="S279" s="130"/>
      <c r="T279" s="130"/>
      <c r="U279" s="130"/>
      <c r="V279" s="130"/>
    </row>
    <row r="280" ht="15.75" customHeight="1">
      <c r="O280" s="130"/>
      <c r="P280" s="130"/>
      <c r="Q280" s="130"/>
      <c r="R280" s="130"/>
      <c r="S280" s="130"/>
      <c r="T280" s="130"/>
      <c r="U280" s="130"/>
      <c r="V280" s="130"/>
    </row>
    <row r="281" ht="15.75" customHeight="1">
      <c r="O281" s="130"/>
      <c r="P281" s="130"/>
      <c r="Q281" s="130"/>
      <c r="R281" s="130"/>
      <c r="S281" s="130"/>
      <c r="T281" s="130"/>
      <c r="U281" s="130"/>
      <c r="V281" s="130"/>
    </row>
    <row r="282" ht="15.75" customHeight="1">
      <c r="O282" s="130"/>
      <c r="P282" s="130"/>
      <c r="Q282" s="130"/>
      <c r="R282" s="130"/>
      <c r="S282" s="130"/>
      <c r="T282" s="130"/>
      <c r="U282" s="130"/>
      <c r="V282" s="130"/>
    </row>
    <row r="283" ht="15.75" customHeight="1">
      <c r="O283" s="130"/>
      <c r="P283" s="130"/>
      <c r="Q283" s="130"/>
      <c r="R283" s="130"/>
      <c r="S283" s="130"/>
      <c r="T283" s="130"/>
      <c r="U283" s="130"/>
      <c r="V283" s="130"/>
    </row>
    <row r="284" ht="15.75" customHeight="1">
      <c r="O284" s="130"/>
      <c r="P284" s="130"/>
      <c r="Q284" s="130"/>
      <c r="R284" s="130"/>
      <c r="S284" s="130"/>
      <c r="T284" s="130"/>
      <c r="U284" s="130"/>
      <c r="V284" s="130"/>
    </row>
    <row r="285" ht="15.75" customHeight="1">
      <c r="O285" s="130"/>
      <c r="P285" s="130"/>
      <c r="Q285" s="130"/>
      <c r="R285" s="130"/>
      <c r="S285" s="130"/>
      <c r="T285" s="130"/>
      <c r="U285" s="130"/>
      <c r="V285" s="130"/>
    </row>
    <row r="286" ht="15.75" customHeight="1">
      <c r="O286" s="130"/>
      <c r="P286" s="130"/>
      <c r="Q286" s="130"/>
      <c r="R286" s="130"/>
      <c r="S286" s="130"/>
      <c r="T286" s="130"/>
      <c r="U286" s="130"/>
      <c r="V286" s="130"/>
    </row>
    <row r="287" ht="15.75" customHeight="1">
      <c r="O287" s="130"/>
      <c r="P287" s="130"/>
      <c r="Q287" s="130"/>
      <c r="R287" s="130"/>
      <c r="S287" s="130"/>
      <c r="T287" s="130"/>
      <c r="U287" s="130"/>
      <c r="V287" s="130"/>
    </row>
    <row r="288" ht="15.75" customHeight="1">
      <c r="O288" s="130"/>
      <c r="P288" s="130"/>
      <c r="Q288" s="130"/>
      <c r="R288" s="130"/>
      <c r="S288" s="130"/>
      <c r="T288" s="130"/>
      <c r="U288" s="130"/>
      <c r="V288" s="130"/>
    </row>
    <row r="289" ht="15.75" customHeight="1">
      <c r="O289" s="130"/>
      <c r="P289" s="130"/>
      <c r="Q289" s="130"/>
      <c r="R289" s="130"/>
      <c r="S289" s="130"/>
      <c r="T289" s="130"/>
      <c r="U289" s="130"/>
      <c r="V289" s="130"/>
    </row>
    <row r="290" ht="15.75" customHeight="1">
      <c r="O290" s="130"/>
      <c r="P290" s="130"/>
      <c r="Q290" s="130"/>
      <c r="R290" s="130"/>
      <c r="S290" s="130"/>
      <c r="T290" s="130"/>
      <c r="U290" s="130"/>
      <c r="V290" s="130"/>
    </row>
    <row r="291" ht="15.75" customHeight="1">
      <c r="O291" s="130"/>
      <c r="P291" s="130"/>
      <c r="Q291" s="130"/>
      <c r="R291" s="130"/>
      <c r="S291" s="130"/>
      <c r="T291" s="130"/>
      <c r="U291" s="130"/>
      <c r="V291" s="130"/>
    </row>
    <row r="292" ht="15.75" customHeight="1">
      <c r="O292" s="130"/>
      <c r="P292" s="130"/>
      <c r="Q292" s="130"/>
      <c r="R292" s="130"/>
      <c r="S292" s="130"/>
      <c r="T292" s="130"/>
      <c r="U292" s="130"/>
      <c r="V292" s="130"/>
    </row>
    <row r="293" ht="15.75" customHeight="1">
      <c r="O293" s="130"/>
      <c r="P293" s="130"/>
      <c r="Q293" s="130"/>
      <c r="R293" s="130"/>
      <c r="S293" s="130"/>
      <c r="T293" s="130"/>
      <c r="U293" s="130"/>
      <c r="V293" s="130"/>
    </row>
    <row r="294" ht="15.75" customHeight="1">
      <c r="O294" s="130"/>
      <c r="P294" s="130"/>
      <c r="Q294" s="130"/>
      <c r="R294" s="130"/>
      <c r="S294" s="130"/>
      <c r="T294" s="130"/>
      <c r="U294" s="130"/>
      <c r="V294" s="130"/>
    </row>
    <row r="295" ht="15.75" customHeight="1">
      <c r="O295" s="130"/>
      <c r="P295" s="130"/>
      <c r="Q295" s="130"/>
      <c r="R295" s="130"/>
      <c r="S295" s="130"/>
      <c r="T295" s="130"/>
      <c r="U295" s="130"/>
      <c r="V295" s="130"/>
    </row>
    <row r="296" ht="15.75" customHeight="1">
      <c r="O296" s="130"/>
      <c r="P296" s="130"/>
      <c r="Q296" s="130"/>
      <c r="R296" s="130"/>
      <c r="S296" s="130"/>
      <c r="T296" s="130"/>
      <c r="U296" s="130"/>
      <c r="V296" s="130"/>
    </row>
    <row r="297" ht="15.75" customHeight="1">
      <c r="O297" s="130"/>
      <c r="P297" s="130"/>
      <c r="Q297" s="130"/>
      <c r="R297" s="130"/>
      <c r="S297" s="130"/>
      <c r="T297" s="130"/>
      <c r="U297" s="130"/>
      <c r="V297" s="130"/>
    </row>
    <row r="298" ht="15.75" customHeight="1">
      <c r="O298" s="130"/>
      <c r="P298" s="130"/>
      <c r="Q298" s="130"/>
      <c r="R298" s="130"/>
      <c r="S298" s="130"/>
      <c r="T298" s="130"/>
      <c r="U298" s="130"/>
      <c r="V298" s="130"/>
    </row>
    <row r="299" ht="15.75" customHeight="1">
      <c r="O299" s="130"/>
      <c r="P299" s="130"/>
      <c r="Q299" s="130"/>
      <c r="R299" s="130"/>
      <c r="S299" s="130"/>
      <c r="T299" s="130"/>
      <c r="U299" s="130"/>
      <c r="V299" s="130"/>
    </row>
    <row r="300" ht="15.75" customHeight="1">
      <c r="O300" s="130"/>
      <c r="P300" s="130"/>
      <c r="Q300" s="130"/>
      <c r="R300" s="130"/>
      <c r="S300" s="130"/>
      <c r="T300" s="130"/>
      <c r="U300" s="130"/>
      <c r="V300" s="130"/>
    </row>
    <row r="301" ht="15.75" customHeight="1">
      <c r="O301" s="130"/>
      <c r="P301" s="130"/>
      <c r="Q301" s="130"/>
      <c r="R301" s="130"/>
      <c r="S301" s="130"/>
      <c r="T301" s="130"/>
      <c r="U301" s="130"/>
      <c r="V301" s="130"/>
    </row>
    <row r="302" ht="15.75" customHeight="1">
      <c r="O302" s="130"/>
      <c r="P302" s="130"/>
      <c r="Q302" s="130"/>
      <c r="R302" s="130"/>
      <c r="S302" s="130"/>
      <c r="T302" s="130"/>
      <c r="U302" s="130"/>
      <c r="V302" s="130"/>
    </row>
    <row r="303" ht="15.75" customHeight="1">
      <c r="O303" s="130"/>
      <c r="P303" s="130"/>
      <c r="Q303" s="130"/>
      <c r="R303" s="130"/>
      <c r="S303" s="130"/>
      <c r="T303" s="130"/>
      <c r="U303" s="130"/>
      <c r="V303" s="130"/>
    </row>
    <row r="304" ht="15.75" customHeight="1">
      <c r="O304" s="130"/>
      <c r="P304" s="130"/>
      <c r="Q304" s="130"/>
      <c r="R304" s="130"/>
      <c r="S304" s="130"/>
      <c r="T304" s="130"/>
      <c r="U304" s="130"/>
      <c r="V304" s="130"/>
    </row>
    <row r="305" ht="15.75" customHeight="1">
      <c r="O305" s="130"/>
      <c r="P305" s="130"/>
      <c r="Q305" s="130"/>
      <c r="R305" s="130"/>
      <c r="S305" s="130"/>
      <c r="T305" s="130"/>
      <c r="U305" s="130"/>
      <c r="V305" s="130"/>
    </row>
    <row r="306" ht="15.75" customHeight="1">
      <c r="O306" s="130"/>
      <c r="P306" s="130"/>
      <c r="Q306" s="130"/>
      <c r="R306" s="130"/>
      <c r="S306" s="130"/>
      <c r="T306" s="130"/>
      <c r="U306" s="130"/>
      <c r="V306" s="130"/>
    </row>
    <row r="307" ht="15.75" customHeight="1">
      <c r="O307" s="130"/>
      <c r="P307" s="130"/>
      <c r="Q307" s="130"/>
      <c r="R307" s="130"/>
      <c r="S307" s="130"/>
      <c r="T307" s="130"/>
      <c r="U307" s="130"/>
      <c r="V307" s="130"/>
    </row>
    <row r="308" ht="15.75" customHeight="1">
      <c r="O308" s="130"/>
      <c r="P308" s="130"/>
      <c r="Q308" s="130"/>
      <c r="R308" s="130"/>
      <c r="S308" s="130"/>
      <c r="T308" s="130"/>
      <c r="U308" s="130"/>
      <c r="V308" s="130"/>
    </row>
    <row r="309" ht="15.75" customHeight="1">
      <c r="O309" s="130"/>
      <c r="P309" s="130"/>
      <c r="Q309" s="130"/>
      <c r="R309" s="130"/>
      <c r="S309" s="130"/>
      <c r="T309" s="130"/>
      <c r="U309" s="130"/>
      <c r="V309" s="130"/>
    </row>
    <row r="310" ht="15.75" customHeight="1">
      <c r="O310" s="130"/>
      <c r="P310" s="130"/>
      <c r="Q310" s="130"/>
      <c r="R310" s="130"/>
      <c r="S310" s="130"/>
      <c r="T310" s="130"/>
      <c r="U310" s="130"/>
      <c r="V310" s="130"/>
    </row>
    <row r="311" ht="15.75" customHeight="1">
      <c r="O311" s="130"/>
      <c r="P311" s="130"/>
      <c r="Q311" s="130"/>
      <c r="R311" s="130"/>
      <c r="S311" s="130"/>
      <c r="T311" s="130"/>
      <c r="U311" s="130"/>
      <c r="V311" s="130"/>
    </row>
    <row r="312" ht="15.75" customHeight="1">
      <c r="O312" s="130"/>
      <c r="P312" s="130"/>
      <c r="Q312" s="130"/>
      <c r="R312" s="130"/>
      <c r="S312" s="130"/>
      <c r="T312" s="130"/>
      <c r="U312" s="130"/>
      <c r="V312" s="130"/>
    </row>
    <row r="313" ht="15.75" customHeight="1">
      <c r="O313" s="130"/>
      <c r="P313" s="130"/>
      <c r="Q313" s="130"/>
      <c r="R313" s="130"/>
      <c r="S313" s="130"/>
      <c r="T313" s="130"/>
      <c r="U313" s="130"/>
      <c r="V313" s="130"/>
    </row>
    <row r="314" ht="15.75" customHeight="1">
      <c r="O314" s="130"/>
      <c r="P314" s="130"/>
      <c r="Q314" s="130"/>
      <c r="R314" s="130"/>
      <c r="S314" s="130"/>
      <c r="T314" s="130"/>
      <c r="U314" s="130"/>
      <c r="V314" s="130"/>
    </row>
    <row r="315" ht="15.75" customHeight="1">
      <c r="O315" s="130"/>
      <c r="P315" s="130"/>
      <c r="Q315" s="130"/>
      <c r="R315" s="130"/>
      <c r="S315" s="130"/>
      <c r="T315" s="130"/>
      <c r="U315" s="130"/>
      <c r="V315" s="130"/>
    </row>
    <row r="316" ht="15.75" customHeight="1">
      <c r="O316" s="130"/>
      <c r="P316" s="130"/>
      <c r="Q316" s="130"/>
      <c r="R316" s="130"/>
      <c r="S316" s="130"/>
      <c r="T316" s="130"/>
      <c r="U316" s="130"/>
      <c r="V316" s="130"/>
    </row>
    <row r="317" ht="15.75" customHeight="1">
      <c r="O317" s="130"/>
      <c r="P317" s="130"/>
      <c r="Q317" s="130"/>
      <c r="R317" s="130"/>
      <c r="S317" s="130"/>
      <c r="T317" s="130"/>
      <c r="U317" s="130"/>
      <c r="V317" s="130"/>
    </row>
    <row r="318" ht="15.75" customHeight="1">
      <c r="O318" s="130"/>
      <c r="P318" s="130"/>
      <c r="Q318" s="130"/>
      <c r="R318" s="130"/>
      <c r="S318" s="130"/>
      <c r="T318" s="130"/>
      <c r="U318" s="130"/>
      <c r="V318" s="130"/>
    </row>
    <row r="319" ht="15.75" customHeight="1">
      <c r="O319" s="130"/>
      <c r="P319" s="130"/>
      <c r="Q319" s="130"/>
      <c r="R319" s="130"/>
      <c r="S319" s="130"/>
      <c r="T319" s="130"/>
      <c r="U319" s="130"/>
      <c r="V319" s="130"/>
    </row>
    <row r="320" ht="15.75" customHeight="1">
      <c r="O320" s="130"/>
      <c r="P320" s="130"/>
      <c r="Q320" s="130"/>
      <c r="R320" s="130"/>
      <c r="S320" s="130"/>
      <c r="T320" s="130"/>
      <c r="U320" s="130"/>
      <c r="V320" s="130"/>
    </row>
    <row r="321" ht="15.75" customHeight="1">
      <c r="O321" s="130"/>
      <c r="P321" s="130"/>
      <c r="Q321" s="130"/>
      <c r="R321" s="130"/>
      <c r="S321" s="130"/>
      <c r="T321" s="130"/>
      <c r="U321" s="130"/>
      <c r="V321" s="130"/>
    </row>
    <row r="322" ht="15.75" customHeight="1">
      <c r="O322" s="130"/>
      <c r="P322" s="130"/>
      <c r="Q322" s="130"/>
      <c r="R322" s="130"/>
      <c r="S322" s="130"/>
      <c r="T322" s="130"/>
      <c r="U322" s="130"/>
      <c r="V322" s="130"/>
    </row>
    <row r="323" ht="15.75" customHeight="1">
      <c r="O323" s="130"/>
      <c r="P323" s="130"/>
      <c r="Q323" s="130"/>
      <c r="R323" s="130"/>
      <c r="S323" s="130"/>
      <c r="T323" s="130"/>
      <c r="U323" s="130"/>
      <c r="V323" s="130"/>
    </row>
    <row r="324" ht="15.75" customHeight="1">
      <c r="O324" s="130"/>
      <c r="P324" s="130"/>
      <c r="Q324" s="130"/>
      <c r="R324" s="130"/>
      <c r="S324" s="130"/>
      <c r="T324" s="130"/>
      <c r="U324" s="130"/>
      <c r="V324" s="130"/>
    </row>
    <row r="325" ht="15.75" customHeight="1">
      <c r="O325" s="130"/>
      <c r="P325" s="130"/>
      <c r="Q325" s="130"/>
      <c r="R325" s="130"/>
      <c r="S325" s="130"/>
      <c r="T325" s="130"/>
      <c r="U325" s="130"/>
      <c r="V325" s="130"/>
    </row>
    <row r="326" ht="15.75" customHeight="1">
      <c r="O326" s="130"/>
      <c r="P326" s="130"/>
      <c r="Q326" s="130"/>
      <c r="R326" s="130"/>
      <c r="S326" s="130"/>
      <c r="T326" s="130"/>
      <c r="U326" s="130"/>
      <c r="V326" s="130"/>
    </row>
    <row r="327" ht="15.75" customHeight="1">
      <c r="O327" s="130"/>
      <c r="P327" s="130"/>
      <c r="Q327" s="130"/>
      <c r="R327" s="130"/>
      <c r="S327" s="130"/>
      <c r="T327" s="130"/>
      <c r="U327" s="130"/>
      <c r="V327" s="130"/>
    </row>
    <row r="328" ht="15.75" customHeight="1">
      <c r="O328" s="130"/>
      <c r="P328" s="130"/>
      <c r="Q328" s="130"/>
      <c r="R328" s="130"/>
      <c r="S328" s="130"/>
      <c r="T328" s="130"/>
      <c r="U328" s="130"/>
      <c r="V328" s="130"/>
    </row>
    <row r="329" ht="15.75" customHeight="1">
      <c r="O329" s="130"/>
      <c r="P329" s="130"/>
      <c r="Q329" s="130"/>
      <c r="R329" s="130"/>
      <c r="S329" s="130"/>
      <c r="T329" s="130"/>
      <c r="U329" s="130"/>
      <c r="V329" s="130"/>
    </row>
    <row r="330" ht="15.75" customHeight="1">
      <c r="O330" s="130"/>
      <c r="P330" s="130"/>
      <c r="Q330" s="130"/>
      <c r="R330" s="130"/>
      <c r="S330" s="130"/>
      <c r="T330" s="130"/>
      <c r="U330" s="130"/>
      <c r="V330" s="130"/>
    </row>
    <row r="331" ht="15.75" customHeight="1">
      <c r="O331" s="130"/>
      <c r="P331" s="130"/>
      <c r="Q331" s="130"/>
      <c r="R331" s="130"/>
      <c r="S331" s="130"/>
      <c r="T331" s="130"/>
      <c r="U331" s="130"/>
      <c r="V331" s="130"/>
    </row>
    <row r="332" ht="15.75" customHeight="1">
      <c r="O332" s="130"/>
      <c r="P332" s="130"/>
      <c r="Q332" s="130"/>
      <c r="R332" s="130"/>
      <c r="S332" s="130"/>
      <c r="T332" s="130"/>
      <c r="U332" s="130"/>
      <c r="V332" s="130"/>
    </row>
    <row r="333" ht="15.75" customHeight="1">
      <c r="O333" s="130"/>
      <c r="P333" s="130"/>
      <c r="Q333" s="130"/>
      <c r="R333" s="130"/>
      <c r="S333" s="130"/>
      <c r="T333" s="130"/>
      <c r="U333" s="130"/>
      <c r="V333" s="130"/>
    </row>
    <row r="334" ht="15.75" customHeight="1">
      <c r="O334" s="130"/>
      <c r="P334" s="130"/>
      <c r="Q334" s="130"/>
      <c r="R334" s="130"/>
      <c r="S334" s="130"/>
      <c r="T334" s="130"/>
      <c r="U334" s="130"/>
      <c r="V334" s="130"/>
    </row>
    <row r="335" ht="15.75" customHeight="1">
      <c r="O335" s="130"/>
      <c r="P335" s="130"/>
      <c r="Q335" s="130"/>
      <c r="R335" s="130"/>
      <c r="S335" s="130"/>
      <c r="T335" s="130"/>
      <c r="U335" s="130"/>
      <c r="V335" s="130"/>
    </row>
    <row r="336" ht="15.75" customHeight="1">
      <c r="O336" s="130"/>
      <c r="P336" s="130"/>
      <c r="Q336" s="130"/>
      <c r="R336" s="130"/>
      <c r="S336" s="130"/>
      <c r="T336" s="130"/>
      <c r="U336" s="130"/>
      <c r="V336" s="130"/>
    </row>
    <row r="337" ht="15.75" customHeight="1">
      <c r="O337" s="130"/>
      <c r="P337" s="130"/>
      <c r="Q337" s="130"/>
      <c r="R337" s="130"/>
      <c r="S337" s="130"/>
      <c r="T337" s="130"/>
      <c r="U337" s="130"/>
      <c r="V337" s="130"/>
    </row>
    <row r="338" ht="15.75" customHeight="1">
      <c r="O338" s="130"/>
      <c r="P338" s="130"/>
      <c r="Q338" s="130"/>
      <c r="R338" s="130"/>
      <c r="S338" s="130"/>
      <c r="T338" s="130"/>
      <c r="U338" s="130"/>
      <c r="V338" s="130"/>
    </row>
    <row r="339" ht="15.75" customHeight="1">
      <c r="O339" s="130"/>
      <c r="P339" s="130"/>
      <c r="Q339" s="130"/>
      <c r="R339" s="130"/>
      <c r="S339" s="130"/>
      <c r="T339" s="130"/>
      <c r="U339" s="130"/>
      <c r="V339" s="130"/>
    </row>
    <row r="340" ht="15.75" customHeight="1">
      <c r="O340" s="130"/>
      <c r="P340" s="130"/>
      <c r="Q340" s="130"/>
      <c r="R340" s="130"/>
      <c r="S340" s="130"/>
      <c r="T340" s="130"/>
      <c r="U340" s="130"/>
      <c r="V340" s="130"/>
    </row>
    <row r="341" ht="15.75" customHeight="1">
      <c r="O341" s="130"/>
      <c r="P341" s="130"/>
      <c r="Q341" s="130"/>
      <c r="R341" s="130"/>
      <c r="S341" s="130"/>
      <c r="T341" s="130"/>
      <c r="U341" s="130"/>
      <c r="V341" s="130"/>
    </row>
    <row r="342" ht="15.75" customHeight="1">
      <c r="O342" s="130"/>
      <c r="P342" s="130"/>
      <c r="Q342" s="130"/>
      <c r="R342" s="130"/>
      <c r="S342" s="130"/>
      <c r="T342" s="130"/>
      <c r="U342" s="130"/>
      <c r="V342" s="130"/>
    </row>
    <row r="343" ht="15.75" customHeight="1">
      <c r="O343" s="130"/>
      <c r="P343" s="130"/>
      <c r="Q343" s="130"/>
      <c r="R343" s="130"/>
      <c r="S343" s="130"/>
      <c r="T343" s="130"/>
      <c r="U343" s="130"/>
      <c r="V343" s="130"/>
    </row>
    <row r="344" ht="15.75" customHeight="1">
      <c r="O344" s="130"/>
      <c r="P344" s="130"/>
      <c r="Q344" s="130"/>
      <c r="R344" s="130"/>
      <c r="S344" s="130"/>
      <c r="T344" s="130"/>
      <c r="U344" s="130"/>
      <c r="V344" s="130"/>
    </row>
    <row r="345" ht="15.75" customHeight="1">
      <c r="O345" s="130"/>
      <c r="P345" s="130"/>
      <c r="Q345" s="130"/>
      <c r="R345" s="130"/>
      <c r="S345" s="130"/>
      <c r="T345" s="130"/>
      <c r="U345" s="130"/>
      <c r="V345" s="130"/>
    </row>
    <row r="346" ht="15.75" customHeight="1">
      <c r="O346" s="130"/>
      <c r="P346" s="130"/>
      <c r="Q346" s="130"/>
      <c r="R346" s="130"/>
      <c r="S346" s="130"/>
      <c r="T346" s="130"/>
      <c r="U346" s="130"/>
      <c r="V346" s="130"/>
    </row>
    <row r="347" ht="15.75" customHeight="1">
      <c r="O347" s="130"/>
      <c r="P347" s="130"/>
      <c r="Q347" s="130"/>
      <c r="R347" s="130"/>
      <c r="S347" s="130"/>
      <c r="T347" s="130"/>
      <c r="U347" s="130"/>
      <c r="V347" s="130"/>
    </row>
    <row r="348" ht="15.75" customHeight="1">
      <c r="O348" s="130"/>
      <c r="P348" s="130"/>
      <c r="Q348" s="130"/>
      <c r="R348" s="130"/>
      <c r="S348" s="130"/>
      <c r="T348" s="130"/>
      <c r="U348" s="130"/>
      <c r="V348" s="130"/>
    </row>
    <row r="349" ht="15.75" customHeight="1">
      <c r="O349" s="130"/>
      <c r="P349" s="130"/>
      <c r="Q349" s="130"/>
      <c r="R349" s="130"/>
      <c r="S349" s="130"/>
      <c r="T349" s="130"/>
      <c r="U349" s="130"/>
      <c r="V349" s="130"/>
    </row>
    <row r="350" ht="15.75" customHeight="1">
      <c r="O350" s="130"/>
      <c r="P350" s="130"/>
      <c r="Q350" s="130"/>
      <c r="R350" s="130"/>
      <c r="S350" s="130"/>
      <c r="T350" s="130"/>
      <c r="U350" s="130"/>
      <c r="V350" s="130"/>
    </row>
    <row r="351" ht="15.75" customHeight="1">
      <c r="O351" s="130"/>
      <c r="P351" s="130"/>
      <c r="Q351" s="130"/>
      <c r="R351" s="130"/>
      <c r="S351" s="130"/>
      <c r="T351" s="130"/>
      <c r="U351" s="130"/>
      <c r="V351" s="130"/>
    </row>
    <row r="352" ht="15.75" customHeight="1">
      <c r="O352" s="130"/>
      <c r="P352" s="130"/>
      <c r="Q352" s="130"/>
      <c r="R352" s="130"/>
      <c r="S352" s="130"/>
      <c r="T352" s="130"/>
      <c r="U352" s="130"/>
      <c r="V352" s="130"/>
    </row>
    <row r="353" ht="15.75" customHeight="1">
      <c r="O353" s="130"/>
      <c r="P353" s="130"/>
      <c r="Q353" s="130"/>
      <c r="R353" s="130"/>
      <c r="S353" s="130"/>
      <c r="T353" s="130"/>
      <c r="U353" s="130"/>
      <c r="V353" s="130"/>
    </row>
    <row r="354" ht="15.75" customHeight="1">
      <c r="O354" s="130"/>
      <c r="P354" s="130"/>
      <c r="Q354" s="130"/>
      <c r="R354" s="130"/>
      <c r="S354" s="130"/>
      <c r="T354" s="130"/>
      <c r="U354" s="130"/>
      <c r="V354" s="130"/>
    </row>
    <row r="355" ht="15.75" customHeight="1">
      <c r="O355" s="130"/>
      <c r="P355" s="130"/>
      <c r="Q355" s="130"/>
      <c r="R355" s="130"/>
      <c r="S355" s="130"/>
      <c r="T355" s="130"/>
      <c r="U355" s="130"/>
      <c r="V355" s="130"/>
    </row>
    <row r="356" ht="15.75" customHeight="1">
      <c r="O356" s="130"/>
      <c r="P356" s="130"/>
      <c r="Q356" s="130"/>
      <c r="R356" s="130"/>
      <c r="S356" s="130"/>
      <c r="T356" s="130"/>
      <c r="U356" s="130"/>
      <c r="V356" s="130"/>
    </row>
    <row r="357" ht="15.75" customHeight="1">
      <c r="O357" s="130"/>
      <c r="P357" s="130"/>
      <c r="Q357" s="130"/>
      <c r="R357" s="130"/>
      <c r="S357" s="130"/>
      <c r="T357" s="130"/>
      <c r="U357" s="130"/>
      <c r="V357" s="130"/>
    </row>
    <row r="358" ht="15.75" customHeight="1">
      <c r="O358" s="130"/>
      <c r="P358" s="130"/>
      <c r="Q358" s="130"/>
      <c r="R358" s="130"/>
      <c r="S358" s="130"/>
      <c r="T358" s="130"/>
      <c r="U358" s="130"/>
      <c r="V358" s="130"/>
    </row>
    <row r="359" ht="15.75" customHeight="1">
      <c r="O359" s="130"/>
      <c r="P359" s="130"/>
      <c r="Q359" s="130"/>
      <c r="R359" s="130"/>
      <c r="S359" s="130"/>
      <c r="T359" s="130"/>
      <c r="U359" s="130"/>
      <c r="V359" s="130"/>
    </row>
    <row r="360" ht="15.75" customHeight="1">
      <c r="O360" s="130"/>
      <c r="P360" s="130"/>
      <c r="Q360" s="130"/>
      <c r="R360" s="130"/>
      <c r="S360" s="130"/>
      <c r="T360" s="130"/>
      <c r="U360" s="130"/>
      <c r="V360" s="130"/>
    </row>
    <row r="361" ht="15.75" customHeight="1">
      <c r="O361" s="130"/>
      <c r="P361" s="130"/>
      <c r="Q361" s="130"/>
      <c r="R361" s="130"/>
      <c r="S361" s="130"/>
      <c r="T361" s="130"/>
      <c r="U361" s="130"/>
      <c r="V361" s="130"/>
    </row>
    <row r="362" ht="15.75" customHeight="1">
      <c r="O362" s="130"/>
      <c r="P362" s="130"/>
      <c r="Q362" s="130"/>
      <c r="R362" s="130"/>
      <c r="S362" s="130"/>
      <c r="T362" s="130"/>
      <c r="U362" s="130"/>
      <c r="V362" s="130"/>
    </row>
    <row r="363" ht="15.75" customHeight="1">
      <c r="O363" s="130"/>
      <c r="P363" s="130"/>
      <c r="Q363" s="130"/>
      <c r="R363" s="130"/>
      <c r="S363" s="130"/>
      <c r="T363" s="130"/>
      <c r="U363" s="130"/>
      <c r="V363" s="130"/>
    </row>
    <row r="364" ht="15.75" customHeight="1">
      <c r="O364" s="130"/>
      <c r="P364" s="130"/>
      <c r="Q364" s="130"/>
      <c r="R364" s="130"/>
      <c r="S364" s="130"/>
      <c r="T364" s="130"/>
      <c r="U364" s="130"/>
      <c r="V364" s="130"/>
    </row>
    <row r="365" ht="15.75" customHeight="1">
      <c r="O365" s="130"/>
      <c r="P365" s="130"/>
      <c r="Q365" s="130"/>
      <c r="R365" s="130"/>
      <c r="S365" s="130"/>
      <c r="T365" s="130"/>
      <c r="U365" s="130"/>
      <c r="V365" s="130"/>
    </row>
    <row r="366" ht="15.75" customHeight="1">
      <c r="O366" s="130"/>
      <c r="P366" s="130"/>
      <c r="Q366" s="130"/>
      <c r="R366" s="130"/>
      <c r="S366" s="130"/>
      <c r="T366" s="130"/>
      <c r="U366" s="130"/>
      <c r="V366" s="130"/>
    </row>
    <row r="367" ht="15.75" customHeight="1">
      <c r="O367" s="130"/>
      <c r="P367" s="130"/>
      <c r="Q367" s="130"/>
      <c r="R367" s="130"/>
      <c r="S367" s="130"/>
      <c r="T367" s="130"/>
      <c r="U367" s="130"/>
      <c r="V367" s="130"/>
    </row>
    <row r="368" ht="15.75" customHeight="1">
      <c r="O368" s="130"/>
      <c r="P368" s="130"/>
      <c r="Q368" s="130"/>
      <c r="R368" s="130"/>
      <c r="S368" s="130"/>
      <c r="T368" s="130"/>
      <c r="U368" s="130"/>
      <c r="V368" s="130"/>
    </row>
    <row r="369" ht="15.75" customHeight="1">
      <c r="O369" s="130"/>
      <c r="P369" s="130"/>
      <c r="Q369" s="130"/>
      <c r="R369" s="130"/>
      <c r="S369" s="130"/>
      <c r="T369" s="130"/>
      <c r="U369" s="130"/>
      <c r="V369" s="130"/>
    </row>
    <row r="370" ht="15.75" customHeight="1">
      <c r="O370" s="130"/>
      <c r="P370" s="130"/>
      <c r="Q370" s="130"/>
      <c r="R370" s="130"/>
      <c r="S370" s="130"/>
      <c r="T370" s="130"/>
      <c r="U370" s="130"/>
      <c r="V370" s="130"/>
    </row>
    <row r="371" ht="15.75" customHeight="1">
      <c r="O371" s="130"/>
      <c r="P371" s="130"/>
      <c r="Q371" s="130"/>
      <c r="R371" s="130"/>
      <c r="S371" s="130"/>
      <c r="T371" s="130"/>
      <c r="U371" s="130"/>
      <c r="V371" s="130"/>
    </row>
    <row r="372" ht="15.75" customHeight="1">
      <c r="O372" s="130"/>
      <c r="P372" s="130"/>
      <c r="Q372" s="130"/>
      <c r="R372" s="130"/>
      <c r="S372" s="130"/>
      <c r="T372" s="130"/>
      <c r="U372" s="130"/>
      <c r="V372" s="130"/>
    </row>
    <row r="373" ht="15.75" customHeight="1">
      <c r="O373" s="130"/>
      <c r="P373" s="130"/>
      <c r="Q373" s="130"/>
      <c r="R373" s="130"/>
      <c r="S373" s="130"/>
      <c r="T373" s="130"/>
      <c r="U373" s="130"/>
      <c r="V373" s="130"/>
    </row>
    <row r="374" ht="15.75" customHeight="1">
      <c r="O374" s="130"/>
      <c r="P374" s="130"/>
      <c r="Q374" s="130"/>
      <c r="R374" s="130"/>
      <c r="S374" s="130"/>
      <c r="T374" s="130"/>
      <c r="U374" s="130"/>
      <c r="V374" s="130"/>
    </row>
    <row r="375" ht="15.75" customHeight="1">
      <c r="O375" s="130"/>
      <c r="P375" s="130"/>
      <c r="Q375" s="130"/>
      <c r="R375" s="130"/>
      <c r="S375" s="130"/>
      <c r="T375" s="130"/>
      <c r="U375" s="130"/>
      <c r="V375" s="130"/>
    </row>
    <row r="376" ht="15.75" customHeight="1">
      <c r="O376" s="130"/>
      <c r="P376" s="130"/>
      <c r="Q376" s="130"/>
      <c r="R376" s="130"/>
      <c r="S376" s="130"/>
      <c r="T376" s="130"/>
      <c r="U376" s="130"/>
      <c r="V376" s="130"/>
    </row>
    <row r="377" ht="15.75" customHeight="1">
      <c r="O377" s="130"/>
      <c r="P377" s="130"/>
      <c r="Q377" s="130"/>
      <c r="R377" s="130"/>
      <c r="S377" s="130"/>
      <c r="T377" s="130"/>
      <c r="U377" s="130"/>
      <c r="V377" s="130"/>
    </row>
    <row r="378" ht="15.75" customHeight="1">
      <c r="O378" s="130"/>
      <c r="P378" s="130"/>
      <c r="Q378" s="130"/>
      <c r="R378" s="130"/>
      <c r="S378" s="130"/>
      <c r="T378" s="130"/>
      <c r="U378" s="130"/>
      <c r="V378" s="130"/>
    </row>
    <row r="379" ht="15.75" customHeight="1">
      <c r="O379" s="130"/>
      <c r="P379" s="130"/>
      <c r="Q379" s="130"/>
      <c r="R379" s="130"/>
      <c r="S379" s="130"/>
      <c r="T379" s="130"/>
      <c r="U379" s="130"/>
      <c r="V379" s="130"/>
    </row>
    <row r="380" ht="15.75" customHeight="1">
      <c r="O380" s="130"/>
      <c r="P380" s="130"/>
      <c r="Q380" s="130"/>
      <c r="R380" s="130"/>
      <c r="S380" s="130"/>
      <c r="T380" s="130"/>
      <c r="U380" s="130"/>
      <c r="V380" s="130"/>
    </row>
    <row r="381" ht="15.75" customHeight="1">
      <c r="O381" s="130"/>
      <c r="P381" s="130"/>
      <c r="Q381" s="130"/>
      <c r="R381" s="130"/>
      <c r="S381" s="130"/>
      <c r="T381" s="130"/>
      <c r="U381" s="130"/>
      <c r="V381" s="130"/>
    </row>
    <row r="382" ht="15.75" customHeight="1">
      <c r="O382" s="130"/>
      <c r="P382" s="130"/>
      <c r="Q382" s="130"/>
      <c r="R382" s="130"/>
      <c r="S382" s="130"/>
      <c r="T382" s="130"/>
      <c r="U382" s="130"/>
      <c r="V382" s="130"/>
    </row>
    <row r="383" ht="15.75" customHeight="1">
      <c r="O383" s="130"/>
      <c r="P383" s="130"/>
      <c r="Q383" s="130"/>
      <c r="R383" s="130"/>
      <c r="S383" s="130"/>
      <c r="T383" s="130"/>
      <c r="U383" s="130"/>
      <c r="V383" s="130"/>
    </row>
    <row r="384" ht="15.75" customHeight="1">
      <c r="O384" s="130"/>
      <c r="P384" s="130"/>
      <c r="Q384" s="130"/>
      <c r="R384" s="130"/>
      <c r="S384" s="130"/>
      <c r="T384" s="130"/>
      <c r="U384" s="130"/>
      <c r="V384" s="130"/>
    </row>
    <row r="385" ht="15.75" customHeight="1">
      <c r="O385" s="130"/>
      <c r="P385" s="130"/>
      <c r="Q385" s="130"/>
      <c r="R385" s="130"/>
      <c r="S385" s="130"/>
      <c r="T385" s="130"/>
      <c r="U385" s="130"/>
      <c r="V385" s="130"/>
    </row>
    <row r="386" ht="15.75" customHeight="1">
      <c r="O386" s="130"/>
      <c r="P386" s="130"/>
      <c r="Q386" s="130"/>
      <c r="R386" s="130"/>
      <c r="S386" s="130"/>
      <c r="T386" s="130"/>
      <c r="U386" s="130"/>
      <c r="V386" s="130"/>
    </row>
    <row r="387" ht="15.75" customHeight="1">
      <c r="O387" s="130"/>
      <c r="P387" s="130"/>
      <c r="Q387" s="130"/>
      <c r="R387" s="130"/>
      <c r="S387" s="130"/>
      <c r="T387" s="130"/>
      <c r="U387" s="130"/>
      <c r="V387" s="130"/>
    </row>
    <row r="388" ht="15.75" customHeight="1">
      <c r="O388" s="130"/>
      <c r="P388" s="130"/>
      <c r="Q388" s="130"/>
      <c r="R388" s="130"/>
      <c r="S388" s="130"/>
      <c r="T388" s="130"/>
      <c r="U388" s="130"/>
      <c r="V388" s="130"/>
    </row>
    <row r="389" ht="15.75" customHeight="1">
      <c r="O389" s="130"/>
      <c r="P389" s="130"/>
      <c r="Q389" s="130"/>
      <c r="R389" s="130"/>
      <c r="S389" s="130"/>
      <c r="T389" s="130"/>
      <c r="U389" s="130"/>
      <c r="V389" s="130"/>
    </row>
    <row r="390" ht="15.75" customHeight="1">
      <c r="O390" s="130"/>
      <c r="P390" s="130"/>
      <c r="Q390" s="130"/>
      <c r="R390" s="130"/>
      <c r="S390" s="130"/>
      <c r="T390" s="130"/>
      <c r="U390" s="130"/>
      <c r="V390" s="130"/>
    </row>
    <row r="391" ht="15.75" customHeight="1">
      <c r="O391" s="130"/>
      <c r="P391" s="130"/>
      <c r="Q391" s="130"/>
      <c r="R391" s="130"/>
      <c r="S391" s="130"/>
      <c r="T391" s="130"/>
      <c r="U391" s="130"/>
      <c r="V391" s="130"/>
    </row>
    <row r="392" ht="15.75" customHeight="1">
      <c r="O392" s="130"/>
      <c r="P392" s="130"/>
      <c r="Q392" s="130"/>
      <c r="R392" s="130"/>
      <c r="S392" s="130"/>
      <c r="T392" s="130"/>
      <c r="U392" s="130"/>
      <c r="V392" s="130"/>
    </row>
    <row r="393" ht="15.75" customHeight="1">
      <c r="O393" s="130"/>
      <c r="P393" s="130"/>
      <c r="Q393" s="130"/>
      <c r="R393" s="130"/>
      <c r="S393" s="130"/>
      <c r="T393" s="130"/>
      <c r="U393" s="130"/>
      <c r="V393" s="130"/>
    </row>
    <row r="394" ht="15.75" customHeight="1">
      <c r="O394" s="130"/>
      <c r="P394" s="130"/>
      <c r="Q394" s="130"/>
      <c r="R394" s="130"/>
      <c r="S394" s="130"/>
      <c r="T394" s="130"/>
      <c r="U394" s="130"/>
      <c r="V394" s="130"/>
    </row>
    <row r="395" ht="15.75" customHeight="1">
      <c r="O395" s="130"/>
      <c r="P395" s="130"/>
      <c r="Q395" s="130"/>
      <c r="R395" s="130"/>
      <c r="S395" s="130"/>
      <c r="T395" s="130"/>
      <c r="U395" s="130"/>
      <c r="V395" s="130"/>
    </row>
    <row r="396" ht="15.75" customHeight="1">
      <c r="O396" s="130"/>
      <c r="P396" s="130"/>
      <c r="Q396" s="130"/>
      <c r="R396" s="130"/>
      <c r="S396" s="130"/>
      <c r="T396" s="130"/>
      <c r="U396" s="130"/>
      <c r="V396" s="130"/>
    </row>
    <row r="397" ht="15.75" customHeight="1">
      <c r="O397" s="130"/>
      <c r="P397" s="130"/>
      <c r="Q397" s="130"/>
      <c r="R397" s="130"/>
      <c r="S397" s="130"/>
      <c r="T397" s="130"/>
      <c r="U397" s="130"/>
      <c r="V397" s="130"/>
    </row>
    <row r="398" ht="15.75" customHeight="1">
      <c r="O398" s="130"/>
      <c r="P398" s="130"/>
      <c r="Q398" s="130"/>
      <c r="R398" s="130"/>
      <c r="S398" s="130"/>
      <c r="T398" s="130"/>
      <c r="U398" s="130"/>
      <c r="V398" s="130"/>
    </row>
    <row r="399" ht="15.75" customHeight="1">
      <c r="O399" s="130"/>
      <c r="P399" s="130"/>
      <c r="Q399" s="130"/>
      <c r="R399" s="130"/>
      <c r="S399" s="130"/>
      <c r="T399" s="130"/>
      <c r="U399" s="130"/>
      <c r="V399" s="130"/>
    </row>
    <row r="400" ht="15.75" customHeight="1">
      <c r="O400" s="130"/>
      <c r="P400" s="130"/>
      <c r="Q400" s="130"/>
      <c r="R400" s="130"/>
      <c r="S400" s="130"/>
      <c r="T400" s="130"/>
      <c r="U400" s="130"/>
      <c r="V400" s="130"/>
    </row>
    <row r="401" ht="15.75" customHeight="1">
      <c r="O401" s="130"/>
      <c r="P401" s="130"/>
      <c r="Q401" s="130"/>
      <c r="R401" s="130"/>
      <c r="S401" s="130"/>
      <c r="T401" s="130"/>
      <c r="U401" s="130"/>
      <c r="V401" s="130"/>
    </row>
    <row r="402" ht="15.75" customHeight="1">
      <c r="O402" s="130"/>
      <c r="P402" s="130"/>
      <c r="Q402" s="130"/>
      <c r="R402" s="130"/>
      <c r="S402" s="130"/>
      <c r="T402" s="130"/>
      <c r="U402" s="130"/>
      <c r="V402" s="130"/>
    </row>
    <row r="403" ht="15.75" customHeight="1">
      <c r="O403" s="130"/>
      <c r="P403" s="130"/>
      <c r="Q403" s="130"/>
      <c r="R403" s="130"/>
      <c r="S403" s="130"/>
      <c r="T403" s="130"/>
      <c r="U403" s="130"/>
      <c r="V403" s="130"/>
    </row>
    <row r="404" ht="15.75" customHeight="1">
      <c r="O404" s="130"/>
      <c r="P404" s="130"/>
      <c r="Q404" s="130"/>
      <c r="R404" s="130"/>
      <c r="S404" s="130"/>
      <c r="T404" s="130"/>
      <c r="U404" s="130"/>
      <c r="V404" s="130"/>
    </row>
    <row r="405" ht="15.75" customHeight="1">
      <c r="O405" s="130"/>
      <c r="P405" s="130"/>
      <c r="Q405" s="130"/>
      <c r="R405" s="130"/>
      <c r="S405" s="130"/>
      <c r="T405" s="130"/>
      <c r="U405" s="130"/>
      <c r="V405" s="130"/>
    </row>
    <row r="406" ht="15.75" customHeight="1">
      <c r="O406" s="130"/>
      <c r="P406" s="130"/>
      <c r="Q406" s="130"/>
      <c r="R406" s="130"/>
      <c r="S406" s="130"/>
      <c r="T406" s="130"/>
      <c r="U406" s="130"/>
      <c r="V406" s="130"/>
    </row>
    <row r="407" ht="15.75" customHeight="1">
      <c r="O407" s="130"/>
      <c r="P407" s="130"/>
      <c r="Q407" s="130"/>
      <c r="R407" s="130"/>
      <c r="S407" s="130"/>
      <c r="T407" s="130"/>
      <c r="U407" s="130"/>
      <c r="V407" s="130"/>
    </row>
    <row r="408" ht="15.75" customHeight="1">
      <c r="O408" s="130"/>
      <c r="P408" s="130"/>
      <c r="Q408" s="130"/>
      <c r="R408" s="130"/>
      <c r="S408" s="130"/>
      <c r="T408" s="130"/>
      <c r="U408" s="130"/>
      <c r="V408" s="130"/>
    </row>
    <row r="409" ht="15.75" customHeight="1">
      <c r="O409" s="130"/>
      <c r="P409" s="130"/>
      <c r="Q409" s="130"/>
      <c r="R409" s="130"/>
      <c r="S409" s="130"/>
      <c r="T409" s="130"/>
      <c r="U409" s="130"/>
      <c r="V409" s="130"/>
    </row>
    <row r="410" ht="15.75" customHeight="1">
      <c r="O410" s="130"/>
      <c r="P410" s="130"/>
      <c r="Q410" s="130"/>
      <c r="R410" s="130"/>
      <c r="S410" s="130"/>
      <c r="T410" s="130"/>
      <c r="U410" s="130"/>
      <c r="V410" s="130"/>
    </row>
    <row r="411" ht="15.75" customHeight="1">
      <c r="O411" s="130"/>
      <c r="P411" s="130"/>
      <c r="Q411" s="130"/>
      <c r="R411" s="130"/>
      <c r="S411" s="130"/>
      <c r="T411" s="130"/>
      <c r="U411" s="130"/>
      <c r="V411" s="130"/>
    </row>
    <row r="412" ht="15.75" customHeight="1">
      <c r="O412" s="130"/>
      <c r="P412" s="130"/>
      <c r="Q412" s="130"/>
      <c r="R412" s="130"/>
      <c r="S412" s="130"/>
      <c r="T412" s="130"/>
      <c r="U412" s="130"/>
      <c r="V412" s="130"/>
    </row>
    <row r="413" ht="15.75" customHeight="1">
      <c r="O413" s="130"/>
      <c r="P413" s="130"/>
      <c r="Q413" s="130"/>
      <c r="R413" s="130"/>
      <c r="S413" s="130"/>
      <c r="T413" s="130"/>
      <c r="U413" s="130"/>
      <c r="V413" s="130"/>
    </row>
    <row r="414" ht="15.75" customHeight="1">
      <c r="O414" s="130"/>
      <c r="P414" s="130"/>
      <c r="Q414" s="130"/>
      <c r="R414" s="130"/>
      <c r="S414" s="130"/>
      <c r="T414" s="130"/>
      <c r="U414" s="130"/>
      <c r="V414" s="130"/>
    </row>
    <row r="415" ht="15.75" customHeight="1">
      <c r="O415" s="130"/>
      <c r="P415" s="130"/>
      <c r="Q415" s="130"/>
      <c r="R415" s="130"/>
      <c r="S415" s="130"/>
      <c r="T415" s="130"/>
      <c r="U415" s="130"/>
      <c r="V415" s="130"/>
    </row>
    <row r="416" ht="15.75" customHeight="1">
      <c r="O416" s="130"/>
      <c r="P416" s="130"/>
      <c r="Q416" s="130"/>
      <c r="R416" s="130"/>
      <c r="S416" s="130"/>
      <c r="T416" s="130"/>
      <c r="U416" s="130"/>
      <c r="V416" s="130"/>
    </row>
    <row r="417" ht="15.75" customHeight="1">
      <c r="O417" s="130"/>
      <c r="P417" s="130"/>
      <c r="Q417" s="130"/>
      <c r="R417" s="130"/>
      <c r="S417" s="130"/>
      <c r="T417" s="130"/>
      <c r="U417" s="130"/>
      <c r="V417" s="130"/>
    </row>
    <row r="418" ht="15.75" customHeight="1">
      <c r="O418" s="130"/>
      <c r="P418" s="130"/>
      <c r="Q418" s="130"/>
      <c r="R418" s="130"/>
      <c r="S418" s="130"/>
      <c r="T418" s="130"/>
      <c r="U418" s="130"/>
      <c r="V418" s="130"/>
    </row>
    <row r="419" ht="15.75" customHeight="1">
      <c r="O419" s="130"/>
      <c r="P419" s="130"/>
      <c r="Q419" s="130"/>
      <c r="R419" s="130"/>
      <c r="S419" s="130"/>
      <c r="T419" s="130"/>
      <c r="U419" s="130"/>
      <c r="V419" s="130"/>
    </row>
    <row r="420" ht="15.75" customHeight="1">
      <c r="O420" s="130"/>
      <c r="P420" s="130"/>
      <c r="Q420" s="130"/>
      <c r="R420" s="130"/>
      <c r="S420" s="130"/>
      <c r="T420" s="130"/>
      <c r="U420" s="130"/>
      <c r="V420" s="130"/>
    </row>
    <row r="421" ht="15.75" customHeight="1">
      <c r="O421" s="130"/>
      <c r="P421" s="130"/>
      <c r="Q421" s="130"/>
      <c r="R421" s="130"/>
      <c r="S421" s="130"/>
      <c r="T421" s="130"/>
      <c r="U421" s="130"/>
      <c r="V421" s="130"/>
    </row>
    <row r="422" ht="15.75" customHeight="1">
      <c r="O422" s="130"/>
      <c r="P422" s="130"/>
      <c r="Q422" s="130"/>
      <c r="R422" s="130"/>
      <c r="S422" s="130"/>
      <c r="T422" s="130"/>
      <c r="U422" s="130"/>
      <c r="V422" s="130"/>
    </row>
    <row r="423" ht="15.75" customHeight="1">
      <c r="O423" s="130"/>
      <c r="P423" s="130"/>
      <c r="Q423" s="130"/>
      <c r="R423" s="130"/>
      <c r="S423" s="130"/>
      <c r="T423" s="130"/>
      <c r="U423" s="130"/>
      <c r="V423" s="130"/>
    </row>
    <row r="424" ht="15.75" customHeight="1">
      <c r="O424" s="130"/>
      <c r="P424" s="130"/>
      <c r="Q424" s="130"/>
      <c r="R424" s="130"/>
      <c r="S424" s="130"/>
      <c r="T424" s="130"/>
      <c r="U424" s="130"/>
      <c r="V424" s="130"/>
    </row>
    <row r="425" ht="15.75" customHeight="1">
      <c r="O425" s="130"/>
      <c r="P425" s="130"/>
      <c r="Q425" s="130"/>
      <c r="R425" s="130"/>
      <c r="S425" s="130"/>
      <c r="T425" s="130"/>
      <c r="U425" s="130"/>
      <c r="V425" s="130"/>
    </row>
    <row r="426" ht="15.75" customHeight="1">
      <c r="O426" s="130"/>
      <c r="P426" s="130"/>
      <c r="Q426" s="130"/>
      <c r="R426" s="130"/>
      <c r="S426" s="130"/>
      <c r="T426" s="130"/>
      <c r="U426" s="130"/>
      <c r="V426" s="130"/>
    </row>
    <row r="427" ht="15.75" customHeight="1">
      <c r="O427" s="130"/>
      <c r="P427" s="130"/>
      <c r="Q427" s="130"/>
      <c r="R427" s="130"/>
      <c r="S427" s="130"/>
      <c r="T427" s="130"/>
      <c r="U427" s="130"/>
      <c r="V427" s="130"/>
    </row>
    <row r="428" ht="15.75" customHeight="1">
      <c r="O428" s="130"/>
      <c r="P428" s="130"/>
      <c r="Q428" s="130"/>
      <c r="R428" s="130"/>
      <c r="S428" s="130"/>
      <c r="T428" s="130"/>
      <c r="U428" s="130"/>
      <c r="V428" s="130"/>
    </row>
    <row r="429" ht="15.75" customHeight="1">
      <c r="O429" s="130"/>
      <c r="P429" s="130"/>
      <c r="Q429" s="130"/>
      <c r="R429" s="130"/>
      <c r="S429" s="130"/>
      <c r="T429" s="130"/>
      <c r="U429" s="130"/>
      <c r="V429" s="130"/>
    </row>
    <row r="430" ht="15.75" customHeight="1">
      <c r="O430" s="130"/>
      <c r="P430" s="130"/>
      <c r="Q430" s="130"/>
      <c r="R430" s="130"/>
      <c r="S430" s="130"/>
      <c r="T430" s="130"/>
      <c r="U430" s="130"/>
      <c r="V430" s="130"/>
    </row>
    <row r="431" ht="15.75" customHeight="1">
      <c r="O431" s="130"/>
      <c r="P431" s="130"/>
      <c r="Q431" s="130"/>
      <c r="R431" s="130"/>
      <c r="S431" s="130"/>
      <c r="T431" s="130"/>
      <c r="U431" s="130"/>
      <c r="V431" s="130"/>
    </row>
    <row r="432" ht="15.75" customHeight="1">
      <c r="O432" s="130"/>
      <c r="P432" s="130"/>
      <c r="Q432" s="130"/>
      <c r="R432" s="130"/>
      <c r="S432" s="130"/>
      <c r="T432" s="130"/>
      <c r="U432" s="130"/>
      <c r="V432" s="130"/>
    </row>
    <row r="433" ht="15.75" customHeight="1">
      <c r="O433" s="130"/>
      <c r="P433" s="130"/>
      <c r="Q433" s="130"/>
      <c r="R433" s="130"/>
      <c r="S433" s="130"/>
      <c r="T433" s="130"/>
      <c r="U433" s="130"/>
      <c r="V433" s="130"/>
    </row>
    <row r="434" ht="15.75" customHeight="1">
      <c r="O434" s="130"/>
      <c r="P434" s="130"/>
      <c r="Q434" s="130"/>
      <c r="R434" s="130"/>
      <c r="S434" s="130"/>
      <c r="T434" s="130"/>
      <c r="U434" s="130"/>
      <c r="V434" s="130"/>
    </row>
    <row r="435" ht="15.75" customHeight="1">
      <c r="O435" s="130"/>
      <c r="P435" s="130"/>
      <c r="Q435" s="130"/>
      <c r="R435" s="130"/>
      <c r="S435" s="130"/>
      <c r="T435" s="130"/>
      <c r="U435" s="130"/>
      <c r="V435" s="130"/>
    </row>
    <row r="436" ht="15.75" customHeight="1">
      <c r="O436" s="130"/>
      <c r="P436" s="130"/>
      <c r="Q436" s="130"/>
      <c r="R436" s="130"/>
      <c r="S436" s="130"/>
      <c r="T436" s="130"/>
      <c r="U436" s="130"/>
      <c r="V436" s="130"/>
    </row>
    <row r="437" ht="15.75" customHeight="1">
      <c r="O437" s="130"/>
      <c r="P437" s="130"/>
      <c r="Q437" s="130"/>
      <c r="R437" s="130"/>
      <c r="S437" s="130"/>
      <c r="T437" s="130"/>
      <c r="U437" s="130"/>
      <c r="V437" s="130"/>
    </row>
    <row r="438" ht="15.75" customHeight="1">
      <c r="O438" s="130"/>
      <c r="P438" s="130"/>
      <c r="Q438" s="130"/>
      <c r="R438" s="130"/>
      <c r="S438" s="130"/>
      <c r="T438" s="130"/>
      <c r="U438" s="130"/>
      <c r="V438" s="130"/>
    </row>
    <row r="439" ht="15.75" customHeight="1">
      <c r="O439" s="130"/>
      <c r="P439" s="130"/>
      <c r="Q439" s="130"/>
      <c r="R439" s="130"/>
      <c r="S439" s="130"/>
      <c r="T439" s="130"/>
      <c r="U439" s="130"/>
      <c r="V439" s="130"/>
    </row>
    <row r="440" ht="15.75" customHeight="1">
      <c r="O440" s="130"/>
      <c r="P440" s="130"/>
      <c r="Q440" s="130"/>
      <c r="R440" s="130"/>
      <c r="S440" s="130"/>
      <c r="T440" s="130"/>
      <c r="U440" s="130"/>
      <c r="V440" s="130"/>
    </row>
    <row r="441" ht="15.75" customHeight="1">
      <c r="O441" s="130"/>
      <c r="P441" s="130"/>
      <c r="Q441" s="130"/>
      <c r="R441" s="130"/>
      <c r="S441" s="130"/>
      <c r="T441" s="130"/>
      <c r="U441" s="130"/>
      <c r="V441" s="130"/>
    </row>
    <row r="442" ht="15.75" customHeight="1">
      <c r="O442" s="130"/>
      <c r="P442" s="130"/>
      <c r="Q442" s="130"/>
      <c r="R442" s="130"/>
      <c r="S442" s="130"/>
      <c r="T442" s="130"/>
      <c r="U442" s="130"/>
      <c r="V442" s="130"/>
    </row>
    <row r="443" ht="15.75" customHeight="1">
      <c r="O443" s="130"/>
      <c r="P443" s="130"/>
      <c r="Q443" s="130"/>
      <c r="R443" s="130"/>
      <c r="S443" s="130"/>
      <c r="T443" s="130"/>
      <c r="U443" s="130"/>
      <c r="V443" s="130"/>
    </row>
    <row r="444" ht="15.75" customHeight="1">
      <c r="O444" s="130"/>
      <c r="P444" s="130"/>
      <c r="Q444" s="130"/>
      <c r="R444" s="130"/>
      <c r="S444" s="130"/>
      <c r="T444" s="130"/>
      <c r="U444" s="130"/>
      <c r="V444" s="130"/>
    </row>
    <row r="445" ht="15.75" customHeight="1">
      <c r="O445" s="130"/>
      <c r="P445" s="130"/>
      <c r="Q445" s="130"/>
      <c r="R445" s="130"/>
      <c r="S445" s="130"/>
      <c r="T445" s="130"/>
      <c r="U445" s="130"/>
      <c r="V445" s="130"/>
    </row>
    <row r="446" ht="15.75" customHeight="1">
      <c r="O446" s="130"/>
      <c r="P446" s="130"/>
      <c r="Q446" s="130"/>
      <c r="R446" s="130"/>
      <c r="S446" s="130"/>
      <c r="T446" s="130"/>
      <c r="U446" s="130"/>
      <c r="V446" s="130"/>
    </row>
    <row r="447" ht="15.75" customHeight="1">
      <c r="O447" s="130"/>
      <c r="P447" s="130"/>
      <c r="Q447" s="130"/>
      <c r="R447" s="130"/>
      <c r="S447" s="130"/>
      <c r="T447" s="130"/>
      <c r="U447" s="130"/>
      <c r="V447" s="130"/>
    </row>
    <row r="448" ht="15.75" customHeight="1">
      <c r="O448" s="130"/>
      <c r="P448" s="130"/>
      <c r="Q448" s="130"/>
      <c r="R448" s="130"/>
      <c r="S448" s="130"/>
      <c r="T448" s="130"/>
      <c r="U448" s="130"/>
      <c r="V448" s="130"/>
    </row>
    <row r="449" ht="15.75" customHeight="1">
      <c r="O449" s="130"/>
      <c r="P449" s="130"/>
      <c r="Q449" s="130"/>
      <c r="R449" s="130"/>
      <c r="S449" s="130"/>
      <c r="T449" s="130"/>
      <c r="U449" s="130"/>
      <c r="V449" s="130"/>
    </row>
    <row r="450" ht="15.75" customHeight="1">
      <c r="O450" s="130"/>
      <c r="P450" s="130"/>
      <c r="Q450" s="130"/>
      <c r="R450" s="130"/>
      <c r="S450" s="130"/>
      <c r="T450" s="130"/>
      <c r="U450" s="130"/>
      <c r="V450" s="130"/>
    </row>
    <row r="451" ht="15.75" customHeight="1">
      <c r="O451" s="130"/>
      <c r="P451" s="130"/>
      <c r="Q451" s="130"/>
      <c r="R451" s="130"/>
      <c r="S451" s="130"/>
      <c r="T451" s="130"/>
      <c r="U451" s="130"/>
      <c r="V451" s="130"/>
    </row>
    <row r="452" ht="15.75" customHeight="1">
      <c r="O452" s="130"/>
      <c r="P452" s="130"/>
      <c r="Q452" s="130"/>
      <c r="R452" s="130"/>
      <c r="S452" s="130"/>
      <c r="T452" s="130"/>
      <c r="U452" s="130"/>
      <c r="V452" s="130"/>
    </row>
    <row r="453" ht="15.75" customHeight="1">
      <c r="O453" s="130"/>
      <c r="P453" s="130"/>
      <c r="Q453" s="130"/>
      <c r="R453" s="130"/>
      <c r="S453" s="130"/>
      <c r="T453" s="130"/>
      <c r="U453" s="130"/>
      <c r="V453" s="130"/>
    </row>
    <row r="454" ht="15.75" customHeight="1">
      <c r="O454" s="130"/>
      <c r="P454" s="130"/>
      <c r="Q454" s="130"/>
      <c r="R454" s="130"/>
      <c r="S454" s="130"/>
      <c r="T454" s="130"/>
      <c r="U454" s="130"/>
      <c r="V454" s="130"/>
    </row>
    <row r="455" ht="15.75" customHeight="1">
      <c r="O455" s="130"/>
      <c r="P455" s="130"/>
      <c r="Q455" s="130"/>
      <c r="R455" s="130"/>
      <c r="S455" s="130"/>
      <c r="T455" s="130"/>
      <c r="U455" s="130"/>
      <c r="V455" s="130"/>
    </row>
    <row r="456" ht="15.75" customHeight="1">
      <c r="O456" s="130"/>
      <c r="P456" s="130"/>
      <c r="Q456" s="130"/>
      <c r="R456" s="130"/>
      <c r="S456" s="130"/>
      <c r="T456" s="130"/>
      <c r="U456" s="130"/>
      <c r="V456" s="130"/>
    </row>
    <row r="457" ht="15.75" customHeight="1">
      <c r="O457" s="130"/>
      <c r="P457" s="130"/>
      <c r="Q457" s="130"/>
      <c r="R457" s="130"/>
      <c r="S457" s="130"/>
      <c r="T457" s="130"/>
      <c r="U457" s="130"/>
      <c r="V457" s="130"/>
    </row>
    <row r="458" ht="15.75" customHeight="1">
      <c r="O458" s="130"/>
      <c r="P458" s="130"/>
      <c r="Q458" s="130"/>
      <c r="R458" s="130"/>
      <c r="S458" s="130"/>
      <c r="T458" s="130"/>
      <c r="U458" s="130"/>
      <c r="V458" s="130"/>
    </row>
    <row r="459" ht="15.75" customHeight="1">
      <c r="O459" s="130"/>
      <c r="P459" s="130"/>
      <c r="Q459" s="130"/>
      <c r="R459" s="130"/>
      <c r="S459" s="130"/>
      <c r="T459" s="130"/>
      <c r="U459" s="130"/>
      <c r="V459" s="130"/>
    </row>
    <row r="460" ht="15.75" customHeight="1">
      <c r="O460" s="130"/>
      <c r="P460" s="130"/>
      <c r="Q460" s="130"/>
      <c r="R460" s="130"/>
      <c r="S460" s="130"/>
      <c r="T460" s="130"/>
      <c r="U460" s="130"/>
      <c r="V460" s="130"/>
    </row>
    <row r="461" ht="15.75" customHeight="1">
      <c r="O461" s="130"/>
      <c r="P461" s="130"/>
      <c r="Q461" s="130"/>
      <c r="R461" s="130"/>
      <c r="S461" s="130"/>
      <c r="T461" s="130"/>
      <c r="U461" s="130"/>
      <c r="V461" s="130"/>
    </row>
    <row r="462" ht="15.75" customHeight="1">
      <c r="O462" s="130"/>
      <c r="P462" s="130"/>
      <c r="Q462" s="130"/>
      <c r="R462" s="130"/>
      <c r="S462" s="130"/>
      <c r="T462" s="130"/>
      <c r="U462" s="130"/>
      <c r="V462" s="130"/>
    </row>
    <row r="463" ht="15.75" customHeight="1">
      <c r="O463" s="130"/>
      <c r="P463" s="130"/>
      <c r="Q463" s="130"/>
      <c r="R463" s="130"/>
      <c r="S463" s="130"/>
      <c r="T463" s="130"/>
      <c r="U463" s="130"/>
      <c r="V463" s="130"/>
    </row>
    <row r="464" ht="15.75" customHeight="1">
      <c r="O464" s="130"/>
      <c r="P464" s="130"/>
      <c r="Q464" s="130"/>
      <c r="R464" s="130"/>
      <c r="S464" s="130"/>
      <c r="T464" s="130"/>
      <c r="U464" s="130"/>
      <c r="V464" s="130"/>
    </row>
    <row r="465" ht="15.75" customHeight="1">
      <c r="O465" s="130"/>
      <c r="P465" s="130"/>
      <c r="Q465" s="130"/>
      <c r="R465" s="130"/>
      <c r="S465" s="130"/>
      <c r="T465" s="130"/>
      <c r="U465" s="130"/>
      <c r="V465" s="130"/>
    </row>
    <row r="466" ht="15.75" customHeight="1">
      <c r="O466" s="130"/>
      <c r="P466" s="130"/>
      <c r="Q466" s="130"/>
      <c r="R466" s="130"/>
      <c r="S466" s="130"/>
      <c r="T466" s="130"/>
      <c r="U466" s="130"/>
      <c r="V466" s="130"/>
    </row>
    <row r="467" ht="15.75" customHeight="1">
      <c r="O467" s="130"/>
      <c r="P467" s="130"/>
      <c r="Q467" s="130"/>
      <c r="R467" s="130"/>
      <c r="S467" s="130"/>
      <c r="T467" s="130"/>
      <c r="U467" s="130"/>
      <c r="V467" s="130"/>
    </row>
    <row r="468" ht="15.75" customHeight="1">
      <c r="O468" s="130"/>
      <c r="P468" s="130"/>
      <c r="Q468" s="130"/>
      <c r="R468" s="130"/>
      <c r="S468" s="130"/>
      <c r="T468" s="130"/>
      <c r="U468" s="130"/>
      <c r="V468" s="130"/>
    </row>
    <row r="469" ht="15.75" customHeight="1">
      <c r="O469" s="130"/>
      <c r="P469" s="130"/>
      <c r="Q469" s="130"/>
      <c r="R469" s="130"/>
      <c r="S469" s="130"/>
      <c r="T469" s="130"/>
      <c r="U469" s="130"/>
      <c r="V469" s="130"/>
    </row>
    <row r="470" ht="15.75" customHeight="1">
      <c r="O470" s="130"/>
      <c r="P470" s="130"/>
      <c r="Q470" s="130"/>
      <c r="R470" s="130"/>
      <c r="S470" s="130"/>
      <c r="T470" s="130"/>
      <c r="U470" s="130"/>
      <c r="V470" s="130"/>
    </row>
    <row r="471" ht="15.75" customHeight="1">
      <c r="O471" s="130"/>
      <c r="P471" s="130"/>
      <c r="Q471" s="130"/>
      <c r="R471" s="130"/>
      <c r="S471" s="130"/>
      <c r="T471" s="130"/>
      <c r="U471" s="130"/>
      <c r="V471" s="130"/>
    </row>
    <row r="472" ht="15.75" customHeight="1">
      <c r="O472" s="130"/>
      <c r="P472" s="130"/>
      <c r="Q472" s="130"/>
      <c r="R472" s="130"/>
      <c r="S472" s="130"/>
      <c r="T472" s="130"/>
      <c r="U472" s="130"/>
      <c r="V472" s="130"/>
    </row>
    <row r="473" ht="15.75" customHeight="1">
      <c r="O473" s="130"/>
      <c r="P473" s="130"/>
      <c r="Q473" s="130"/>
      <c r="R473" s="130"/>
      <c r="S473" s="130"/>
      <c r="T473" s="130"/>
      <c r="U473" s="130"/>
      <c r="V473" s="130"/>
    </row>
    <row r="474" ht="15.75" customHeight="1">
      <c r="O474" s="130"/>
      <c r="P474" s="130"/>
      <c r="Q474" s="130"/>
      <c r="R474" s="130"/>
      <c r="S474" s="130"/>
      <c r="T474" s="130"/>
      <c r="U474" s="130"/>
      <c r="V474" s="130"/>
    </row>
    <row r="475" ht="15.75" customHeight="1">
      <c r="O475" s="130"/>
      <c r="P475" s="130"/>
      <c r="Q475" s="130"/>
      <c r="R475" s="130"/>
      <c r="S475" s="130"/>
      <c r="T475" s="130"/>
      <c r="U475" s="130"/>
      <c r="V475" s="130"/>
    </row>
    <row r="476" ht="15.75" customHeight="1">
      <c r="O476" s="130"/>
      <c r="P476" s="130"/>
      <c r="Q476" s="130"/>
      <c r="R476" s="130"/>
      <c r="S476" s="130"/>
      <c r="T476" s="130"/>
      <c r="U476" s="130"/>
      <c r="V476" s="130"/>
    </row>
    <row r="477" ht="15.75" customHeight="1">
      <c r="O477" s="130"/>
      <c r="P477" s="130"/>
      <c r="Q477" s="130"/>
      <c r="R477" s="130"/>
      <c r="S477" s="130"/>
      <c r="T477" s="130"/>
      <c r="U477" s="130"/>
      <c r="V477" s="130"/>
    </row>
    <row r="478" ht="15.75" customHeight="1">
      <c r="O478" s="130"/>
      <c r="P478" s="130"/>
      <c r="Q478" s="130"/>
      <c r="R478" s="130"/>
      <c r="S478" s="130"/>
      <c r="T478" s="130"/>
      <c r="U478" s="130"/>
      <c r="V478" s="130"/>
    </row>
    <row r="479" ht="15.75" customHeight="1">
      <c r="O479" s="130"/>
      <c r="P479" s="130"/>
      <c r="Q479" s="130"/>
      <c r="R479" s="130"/>
      <c r="S479" s="130"/>
      <c r="T479" s="130"/>
      <c r="U479" s="130"/>
      <c r="V479" s="130"/>
    </row>
    <row r="480" ht="15.75" customHeight="1">
      <c r="O480" s="130"/>
      <c r="P480" s="130"/>
      <c r="Q480" s="130"/>
      <c r="R480" s="130"/>
      <c r="S480" s="130"/>
      <c r="T480" s="130"/>
      <c r="U480" s="130"/>
      <c r="V480" s="130"/>
    </row>
    <row r="481" ht="15.75" customHeight="1">
      <c r="O481" s="130"/>
      <c r="P481" s="130"/>
      <c r="Q481" s="130"/>
      <c r="R481" s="130"/>
      <c r="S481" s="130"/>
      <c r="T481" s="130"/>
      <c r="U481" s="130"/>
      <c r="V481" s="130"/>
    </row>
    <row r="482" ht="15.75" customHeight="1">
      <c r="O482" s="130"/>
      <c r="P482" s="130"/>
      <c r="Q482" s="130"/>
      <c r="R482" s="130"/>
      <c r="S482" s="130"/>
      <c r="T482" s="130"/>
      <c r="U482" s="130"/>
      <c r="V482" s="130"/>
    </row>
    <row r="483" ht="15.75" customHeight="1">
      <c r="O483" s="130"/>
      <c r="P483" s="130"/>
      <c r="Q483" s="130"/>
      <c r="R483" s="130"/>
      <c r="S483" s="130"/>
      <c r="T483" s="130"/>
      <c r="U483" s="130"/>
      <c r="V483" s="130"/>
    </row>
    <row r="484" ht="15.75" customHeight="1">
      <c r="O484" s="130"/>
      <c r="P484" s="130"/>
      <c r="Q484" s="130"/>
      <c r="R484" s="130"/>
      <c r="S484" s="130"/>
      <c r="T484" s="130"/>
      <c r="U484" s="130"/>
      <c r="V484" s="130"/>
    </row>
    <row r="485" ht="15.75" customHeight="1">
      <c r="O485" s="130"/>
      <c r="P485" s="130"/>
      <c r="Q485" s="130"/>
      <c r="R485" s="130"/>
      <c r="S485" s="130"/>
      <c r="T485" s="130"/>
      <c r="U485" s="130"/>
      <c r="V485" s="130"/>
    </row>
    <row r="486" ht="15.75" customHeight="1">
      <c r="O486" s="130"/>
      <c r="P486" s="130"/>
      <c r="Q486" s="130"/>
      <c r="R486" s="130"/>
      <c r="S486" s="130"/>
      <c r="T486" s="130"/>
      <c r="U486" s="130"/>
      <c r="V486" s="130"/>
    </row>
    <row r="487" ht="15.75" customHeight="1">
      <c r="O487" s="130"/>
      <c r="P487" s="130"/>
      <c r="Q487" s="130"/>
      <c r="R487" s="130"/>
      <c r="S487" s="130"/>
      <c r="T487" s="130"/>
      <c r="U487" s="130"/>
      <c r="V487" s="130"/>
    </row>
    <row r="488" ht="15.75" customHeight="1">
      <c r="O488" s="130"/>
      <c r="P488" s="130"/>
      <c r="Q488" s="130"/>
      <c r="R488" s="130"/>
      <c r="S488" s="130"/>
      <c r="T488" s="130"/>
      <c r="U488" s="130"/>
      <c r="V488" s="130"/>
    </row>
    <row r="489" ht="15.75" customHeight="1">
      <c r="O489" s="130"/>
      <c r="P489" s="130"/>
      <c r="Q489" s="130"/>
      <c r="R489" s="130"/>
      <c r="S489" s="130"/>
      <c r="T489" s="130"/>
      <c r="U489" s="130"/>
      <c r="V489" s="130"/>
    </row>
    <row r="490" ht="15.75" customHeight="1">
      <c r="O490" s="130"/>
      <c r="P490" s="130"/>
      <c r="Q490" s="130"/>
      <c r="R490" s="130"/>
      <c r="S490" s="130"/>
      <c r="T490" s="130"/>
      <c r="U490" s="130"/>
      <c r="V490" s="130"/>
    </row>
    <row r="491" ht="15.75" customHeight="1">
      <c r="O491" s="130"/>
      <c r="P491" s="130"/>
      <c r="Q491" s="130"/>
      <c r="R491" s="130"/>
      <c r="S491" s="130"/>
      <c r="T491" s="130"/>
      <c r="U491" s="130"/>
      <c r="V491" s="130"/>
    </row>
    <row r="492" ht="15.75" customHeight="1">
      <c r="O492" s="130"/>
      <c r="P492" s="130"/>
      <c r="Q492" s="130"/>
      <c r="R492" s="130"/>
      <c r="S492" s="130"/>
      <c r="T492" s="130"/>
      <c r="U492" s="130"/>
      <c r="V492" s="130"/>
    </row>
    <row r="493" ht="15.75" customHeight="1">
      <c r="O493" s="130"/>
      <c r="P493" s="130"/>
      <c r="Q493" s="130"/>
      <c r="R493" s="130"/>
      <c r="S493" s="130"/>
      <c r="T493" s="130"/>
      <c r="U493" s="130"/>
      <c r="V493" s="130"/>
    </row>
    <row r="494" ht="15.75" customHeight="1">
      <c r="O494" s="130"/>
      <c r="P494" s="130"/>
      <c r="Q494" s="130"/>
      <c r="R494" s="130"/>
      <c r="S494" s="130"/>
      <c r="T494" s="130"/>
      <c r="U494" s="130"/>
      <c r="V494" s="130"/>
    </row>
    <row r="495" ht="15.75" customHeight="1">
      <c r="O495" s="130"/>
      <c r="P495" s="130"/>
      <c r="Q495" s="130"/>
      <c r="R495" s="130"/>
      <c r="S495" s="130"/>
      <c r="T495" s="130"/>
      <c r="U495" s="130"/>
      <c r="V495" s="130"/>
    </row>
    <row r="496" ht="15.75" customHeight="1">
      <c r="O496" s="130"/>
      <c r="P496" s="130"/>
      <c r="Q496" s="130"/>
      <c r="R496" s="130"/>
      <c r="S496" s="130"/>
      <c r="T496" s="130"/>
      <c r="U496" s="130"/>
      <c r="V496" s="130"/>
    </row>
    <row r="497" ht="15.75" customHeight="1">
      <c r="O497" s="130"/>
      <c r="P497" s="130"/>
      <c r="Q497" s="130"/>
      <c r="R497" s="130"/>
      <c r="S497" s="130"/>
      <c r="T497" s="130"/>
      <c r="U497" s="130"/>
      <c r="V497" s="130"/>
    </row>
    <row r="498" ht="15.75" customHeight="1">
      <c r="O498" s="130"/>
      <c r="P498" s="130"/>
      <c r="Q498" s="130"/>
      <c r="R498" s="130"/>
      <c r="S498" s="130"/>
      <c r="T498" s="130"/>
      <c r="U498" s="130"/>
      <c r="V498" s="130"/>
    </row>
    <row r="499" ht="15.75" customHeight="1">
      <c r="O499" s="130"/>
      <c r="P499" s="130"/>
      <c r="Q499" s="130"/>
      <c r="R499" s="130"/>
      <c r="S499" s="130"/>
      <c r="T499" s="130"/>
      <c r="U499" s="130"/>
      <c r="V499" s="130"/>
    </row>
    <row r="500" ht="15.75" customHeight="1">
      <c r="O500" s="130"/>
      <c r="P500" s="130"/>
      <c r="Q500" s="130"/>
      <c r="R500" s="130"/>
      <c r="S500" s="130"/>
      <c r="T500" s="130"/>
      <c r="U500" s="130"/>
      <c r="V500" s="130"/>
    </row>
    <row r="501" ht="15.75" customHeight="1">
      <c r="O501" s="130"/>
      <c r="P501" s="130"/>
      <c r="Q501" s="130"/>
      <c r="R501" s="130"/>
      <c r="S501" s="130"/>
      <c r="T501" s="130"/>
      <c r="U501" s="130"/>
      <c r="V501" s="130"/>
    </row>
    <row r="502" ht="15.75" customHeight="1">
      <c r="O502" s="130"/>
      <c r="P502" s="130"/>
      <c r="Q502" s="130"/>
      <c r="R502" s="130"/>
      <c r="S502" s="130"/>
      <c r="T502" s="130"/>
      <c r="U502" s="130"/>
      <c r="V502" s="130"/>
    </row>
    <row r="503" ht="15.75" customHeight="1">
      <c r="O503" s="130"/>
      <c r="P503" s="130"/>
      <c r="Q503" s="130"/>
      <c r="R503" s="130"/>
      <c r="S503" s="130"/>
      <c r="T503" s="130"/>
      <c r="U503" s="130"/>
      <c r="V503" s="130"/>
    </row>
    <row r="504" ht="15.75" customHeight="1">
      <c r="O504" s="130"/>
      <c r="P504" s="130"/>
      <c r="Q504" s="130"/>
      <c r="R504" s="130"/>
      <c r="S504" s="130"/>
      <c r="T504" s="130"/>
      <c r="U504" s="130"/>
      <c r="V504" s="130"/>
    </row>
    <row r="505" ht="15.75" customHeight="1">
      <c r="O505" s="130"/>
      <c r="P505" s="130"/>
      <c r="Q505" s="130"/>
      <c r="R505" s="130"/>
      <c r="S505" s="130"/>
      <c r="T505" s="130"/>
      <c r="U505" s="130"/>
      <c r="V505" s="130"/>
    </row>
    <row r="506" ht="15.75" customHeight="1">
      <c r="O506" s="130"/>
      <c r="P506" s="130"/>
      <c r="Q506" s="130"/>
      <c r="R506" s="130"/>
      <c r="S506" s="130"/>
      <c r="T506" s="130"/>
      <c r="U506" s="130"/>
      <c r="V506" s="130"/>
    </row>
    <row r="507" ht="15.75" customHeight="1">
      <c r="O507" s="130"/>
      <c r="P507" s="130"/>
      <c r="Q507" s="130"/>
      <c r="R507" s="130"/>
      <c r="S507" s="130"/>
      <c r="T507" s="130"/>
      <c r="U507" s="130"/>
      <c r="V507" s="130"/>
    </row>
    <row r="508" ht="15.75" customHeight="1">
      <c r="O508" s="130"/>
      <c r="P508" s="130"/>
      <c r="Q508" s="130"/>
      <c r="R508" s="130"/>
      <c r="S508" s="130"/>
      <c r="T508" s="130"/>
      <c r="U508" s="130"/>
      <c r="V508" s="130"/>
    </row>
    <row r="509" ht="15.75" customHeight="1">
      <c r="O509" s="130"/>
      <c r="P509" s="130"/>
      <c r="Q509" s="130"/>
      <c r="R509" s="130"/>
      <c r="S509" s="130"/>
      <c r="T509" s="130"/>
      <c r="U509" s="130"/>
      <c r="V509" s="130"/>
    </row>
    <row r="510" ht="15.75" customHeight="1">
      <c r="O510" s="130"/>
      <c r="P510" s="130"/>
      <c r="Q510" s="130"/>
      <c r="R510" s="130"/>
      <c r="S510" s="130"/>
      <c r="T510" s="130"/>
      <c r="U510" s="130"/>
      <c r="V510" s="130"/>
    </row>
    <row r="511" ht="15.75" customHeight="1">
      <c r="O511" s="130"/>
      <c r="P511" s="130"/>
      <c r="Q511" s="130"/>
      <c r="R511" s="130"/>
      <c r="S511" s="130"/>
      <c r="T511" s="130"/>
      <c r="U511" s="130"/>
      <c r="V511" s="130"/>
    </row>
    <row r="512" ht="15.75" customHeight="1">
      <c r="O512" s="130"/>
      <c r="P512" s="130"/>
      <c r="Q512" s="130"/>
      <c r="R512" s="130"/>
      <c r="S512" s="130"/>
      <c r="T512" s="130"/>
      <c r="U512" s="130"/>
      <c r="V512" s="130"/>
    </row>
    <row r="513" ht="15.75" customHeight="1">
      <c r="O513" s="130"/>
      <c r="P513" s="130"/>
      <c r="Q513" s="130"/>
      <c r="R513" s="130"/>
      <c r="S513" s="130"/>
      <c r="T513" s="130"/>
      <c r="U513" s="130"/>
      <c r="V513" s="130"/>
    </row>
    <row r="514" ht="15.75" customHeight="1">
      <c r="O514" s="130"/>
      <c r="P514" s="130"/>
      <c r="Q514" s="130"/>
      <c r="R514" s="130"/>
      <c r="S514" s="130"/>
      <c r="T514" s="130"/>
      <c r="U514" s="130"/>
      <c r="V514" s="130"/>
    </row>
    <row r="515" ht="15.75" customHeight="1">
      <c r="O515" s="130"/>
      <c r="P515" s="130"/>
      <c r="Q515" s="130"/>
      <c r="R515" s="130"/>
      <c r="S515" s="130"/>
      <c r="T515" s="130"/>
      <c r="U515" s="130"/>
      <c r="V515" s="130"/>
    </row>
    <row r="516" ht="15.75" customHeight="1">
      <c r="O516" s="130"/>
      <c r="P516" s="130"/>
      <c r="Q516" s="130"/>
      <c r="R516" s="130"/>
      <c r="S516" s="130"/>
      <c r="T516" s="130"/>
      <c r="U516" s="130"/>
      <c r="V516" s="130"/>
    </row>
    <row r="517" ht="15.75" customHeight="1">
      <c r="O517" s="130"/>
      <c r="P517" s="130"/>
      <c r="Q517" s="130"/>
      <c r="R517" s="130"/>
      <c r="S517" s="130"/>
      <c r="T517" s="130"/>
      <c r="U517" s="130"/>
      <c r="V517" s="130"/>
    </row>
    <row r="518" ht="15.75" customHeight="1">
      <c r="O518" s="130"/>
      <c r="P518" s="130"/>
      <c r="Q518" s="130"/>
      <c r="R518" s="130"/>
      <c r="S518" s="130"/>
      <c r="T518" s="130"/>
      <c r="U518" s="130"/>
      <c r="V518" s="130"/>
    </row>
    <row r="519" ht="15.75" customHeight="1">
      <c r="O519" s="130"/>
      <c r="P519" s="130"/>
      <c r="Q519" s="130"/>
      <c r="R519" s="130"/>
      <c r="S519" s="130"/>
      <c r="T519" s="130"/>
      <c r="U519" s="130"/>
      <c r="V519" s="130"/>
    </row>
    <row r="520" ht="15.75" customHeight="1">
      <c r="O520" s="130"/>
      <c r="P520" s="130"/>
      <c r="Q520" s="130"/>
      <c r="R520" s="130"/>
      <c r="S520" s="130"/>
      <c r="T520" s="130"/>
      <c r="U520" s="130"/>
      <c r="V520" s="130"/>
    </row>
    <row r="521" ht="15.75" customHeight="1">
      <c r="O521" s="130"/>
      <c r="P521" s="130"/>
      <c r="Q521" s="130"/>
      <c r="R521" s="130"/>
      <c r="S521" s="130"/>
      <c r="T521" s="130"/>
      <c r="U521" s="130"/>
      <c r="V521" s="130"/>
    </row>
    <row r="522" ht="15.75" customHeight="1">
      <c r="O522" s="130"/>
      <c r="P522" s="130"/>
      <c r="Q522" s="130"/>
      <c r="R522" s="130"/>
      <c r="S522" s="130"/>
      <c r="T522" s="130"/>
      <c r="U522" s="130"/>
      <c r="V522" s="130"/>
    </row>
    <row r="523" ht="15.75" customHeight="1">
      <c r="O523" s="130"/>
      <c r="P523" s="130"/>
      <c r="Q523" s="130"/>
      <c r="R523" s="130"/>
      <c r="S523" s="130"/>
      <c r="T523" s="130"/>
      <c r="U523" s="130"/>
      <c r="V523" s="130"/>
    </row>
    <row r="524" ht="15.75" customHeight="1">
      <c r="O524" s="130"/>
      <c r="P524" s="130"/>
      <c r="Q524" s="130"/>
      <c r="R524" s="130"/>
      <c r="S524" s="130"/>
      <c r="T524" s="130"/>
      <c r="U524" s="130"/>
      <c r="V524" s="130"/>
    </row>
    <row r="525" ht="15.75" customHeight="1">
      <c r="O525" s="130"/>
      <c r="P525" s="130"/>
      <c r="Q525" s="130"/>
      <c r="R525" s="130"/>
      <c r="S525" s="130"/>
      <c r="T525" s="130"/>
      <c r="U525" s="130"/>
      <c r="V525" s="130"/>
    </row>
    <row r="526" ht="15.75" customHeight="1">
      <c r="O526" s="130"/>
      <c r="P526" s="130"/>
      <c r="Q526" s="130"/>
      <c r="R526" s="130"/>
      <c r="S526" s="130"/>
      <c r="T526" s="130"/>
      <c r="U526" s="130"/>
      <c r="V526" s="130"/>
    </row>
    <row r="527" ht="15.75" customHeight="1">
      <c r="O527" s="130"/>
      <c r="P527" s="130"/>
      <c r="Q527" s="130"/>
      <c r="R527" s="130"/>
      <c r="S527" s="130"/>
      <c r="T527" s="130"/>
      <c r="U527" s="130"/>
      <c r="V527" s="130"/>
    </row>
    <row r="528" ht="15.75" customHeight="1">
      <c r="O528" s="130"/>
      <c r="P528" s="130"/>
      <c r="Q528" s="130"/>
      <c r="R528" s="130"/>
      <c r="S528" s="130"/>
      <c r="T528" s="130"/>
      <c r="U528" s="130"/>
      <c r="V528" s="130"/>
    </row>
    <row r="529" ht="15.75" customHeight="1">
      <c r="O529" s="130"/>
      <c r="P529" s="130"/>
      <c r="Q529" s="130"/>
      <c r="R529" s="130"/>
      <c r="S529" s="130"/>
      <c r="T529" s="130"/>
      <c r="U529" s="130"/>
      <c r="V529" s="130"/>
    </row>
    <row r="530" ht="15.75" customHeight="1">
      <c r="O530" s="130"/>
      <c r="P530" s="130"/>
      <c r="Q530" s="130"/>
      <c r="R530" s="130"/>
      <c r="S530" s="130"/>
      <c r="T530" s="130"/>
      <c r="U530" s="130"/>
      <c r="V530" s="130"/>
    </row>
    <row r="531" ht="15.75" customHeight="1">
      <c r="O531" s="130"/>
      <c r="P531" s="130"/>
      <c r="Q531" s="130"/>
      <c r="R531" s="130"/>
      <c r="S531" s="130"/>
      <c r="T531" s="130"/>
      <c r="U531" s="130"/>
      <c r="V531" s="130"/>
    </row>
    <row r="532" ht="15.75" customHeight="1">
      <c r="O532" s="130"/>
      <c r="P532" s="130"/>
      <c r="Q532" s="130"/>
      <c r="R532" s="130"/>
      <c r="S532" s="130"/>
      <c r="T532" s="130"/>
      <c r="U532" s="130"/>
      <c r="V532" s="130"/>
    </row>
    <row r="533" ht="15.75" customHeight="1">
      <c r="O533" s="130"/>
      <c r="P533" s="130"/>
      <c r="Q533" s="130"/>
      <c r="R533" s="130"/>
      <c r="S533" s="130"/>
      <c r="T533" s="130"/>
      <c r="U533" s="130"/>
      <c r="V533" s="130"/>
    </row>
    <row r="534" ht="15.75" customHeight="1">
      <c r="O534" s="130"/>
      <c r="P534" s="130"/>
      <c r="Q534" s="130"/>
      <c r="R534" s="130"/>
      <c r="S534" s="130"/>
      <c r="T534" s="130"/>
      <c r="U534" s="130"/>
      <c r="V534" s="130"/>
    </row>
    <row r="535" ht="15.75" customHeight="1">
      <c r="O535" s="130"/>
      <c r="P535" s="130"/>
      <c r="Q535" s="130"/>
      <c r="R535" s="130"/>
      <c r="S535" s="130"/>
      <c r="T535" s="130"/>
      <c r="U535" s="130"/>
      <c r="V535" s="130"/>
    </row>
    <row r="536" ht="15.75" customHeight="1">
      <c r="O536" s="130"/>
      <c r="P536" s="130"/>
      <c r="Q536" s="130"/>
      <c r="R536" s="130"/>
      <c r="S536" s="130"/>
      <c r="T536" s="130"/>
      <c r="U536" s="130"/>
      <c r="V536" s="130"/>
    </row>
    <row r="537" ht="15.75" customHeight="1">
      <c r="O537" s="130"/>
      <c r="P537" s="130"/>
      <c r="Q537" s="130"/>
      <c r="R537" s="130"/>
      <c r="S537" s="130"/>
      <c r="T537" s="130"/>
      <c r="U537" s="130"/>
      <c r="V537" s="130"/>
    </row>
    <row r="538" ht="15.75" customHeight="1">
      <c r="O538" s="130"/>
      <c r="P538" s="130"/>
      <c r="Q538" s="130"/>
      <c r="R538" s="130"/>
      <c r="S538" s="130"/>
      <c r="T538" s="130"/>
      <c r="U538" s="130"/>
      <c r="V538" s="130"/>
    </row>
    <row r="539" ht="15.75" customHeight="1">
      <c r="O539" s="130"/>
      <c r="P539" s="130"/>
      <c r="Q539" s="130"/>
      <c r="R539" s="130"/>
      <c r="S539" s="130"/>
      <c r="T539" s="130"/>
      <c r="U539" s="130"/>
      <c r="V539" s="130"/>
    </row>
    <row r="540" ht="15.75" customHeight="1">
      <c r="O540" s="130"/>
      <c r="P540" s="130"/>
      <c r="Q540" s="130"/>
      <c r="R540" s="130"/>
      <c r="S540" s="130"/>
      <c r="T540" s="130"/>
      <c r="U540" s="130"/>
      <c r="V540" s="130"/>
    </row>
    <row r="541" ht="15.75" customHeight="1">
      <c r="O541" s="130"/>
      <c r="P541" s="130"/>
      <c r="Q541" s="130"/>
      <c r="R541" s="130"/>
      <c r="S541" s="130"/>
      <c r="T541" s="130"/>
      <c r="U541" s="130"/>
      <c r="V541" s="130"/>
    </row>
    <row r="542" ht="15.75" customHeight="1">
      <c r="O542" s="130"/>
      <c r="P542" s="130"/>
      <c r="Q542" s="130"/>
      <c r="R542" s="130"/>
      <c r="S542" s="130"/>
      <c r="T542" s="130"/>
      <c r="U542" s="130"/>
      <c r="V542" s="130"/>
    </row>
    <row r="543" ht="15.75" customHeight="1">
      <c r="O543" s="130"/>
      <c r="P543" s="130"/>
      <c r="Q543" s="130"/>
      <c r="R543" s="130"/>
      <c r="S543" s="130"/>
      <c r="T543" s="130"/>
      <c r="U543" s="130"/>
      <c r="V543" s="130"/>
    </row>
    <row r="544" ht="15.75" customHeight="1">
      <c r="O544" s="130"/>
      <c r="P544" s="130"/>
      <c r="Q544" s="130"/>
      <c r="R544" s="130"/>
      <c r="S544" s="130"/>
      <c r="T544" s="130"/>
      <c r="U544" s="130"/>
      <c r="V544" s="130"/>
    </row>
    <row r="545" ht="15.75" customHeight="1">
      <c r="O545" s="130"/>
      <c r="P545" s="130"/>
      <c r="Q545" s="130"/>
      <c r="R545" s="130"/>
      <c r="S545" s="130"/>
      <c r="T545" s="130"/>
      <c r="U545" s="130"/>
      <c r="V545" s="130"/>
    </row>
    <row r="546" ht="15.75" customHeight="1">
      <c r="O546" s="130"/>
      <c r="P546" s="130"/>
      <c r="Q546" s="130"/>
      <c r="R546" s="130"/>
      <c r="S546" s="130"/>
      <c r="T546" s="130"/>
      <c r="U546" s="130"/>
      <c r="V546" s="130"/>
    </row>
    <row r="547" ht="15.75" customHeight="1">
      <c r="O547" s="130"/>
      <c r="P547" s="130"/>
      <c r="Q547" s="130"/>
      <c r="R547" s="130"/>
      <c r="S547" s="130"/>
      <c r="T547" s="130"/>
      <c r="U547" s="130"/>
      <c r="V547" s="130"/>
    </row>
    <row r="548" ht="15.75" customHeight="1">
      <c r="O548" s="130"/>
      <c r="P548" s="130"/>
      <c r="Q548" s="130"/>
      <c r="R548" s="130"/>
      <c r="S548" s="130"/>
      <c r="T548" s="130"/>
      <c r="U548" s="130"/>
      <c r="V548" s="130"/>
    </row>
    <row r="549" ht="15.75" customHeight="1">
      <c r="O549" s="130"/>
      <c r="P549" s="130"/>
      <c r="Q549" s="130"/>
      <c r="R549" s="130"/>
      <c r="S549" s="130"/>
      <c r="T549" s="130"/>
      <c r="U549" s="130"/>
      <c r="V549" s="130"/>
    </row>
    <row r="550" ht="15.75" customHeight="1">
      <c r="O550" s="130"/>
      <c r="P550" s="130"/>
      <c r="Q550" s="130"/>
      <c r="R550" s="130"/>
      <c r="S550" s="130"/>
      <c r="T550" s="130"/>
      <c r="U550" s="130"/>
      <c r="V550" s="130"/>
    </row>
    <row r="551" ht="15.75" customHeight="1">
      <c r="O551" s="130"/>
      <c r="P551" s="130"/>
      <c r="Q551" s="130"/>
      <c r="R551" s="130"/>
      <c r="S551" s="130"/>
      <c r="T551" s="130"/>
      <c r="U551" s="130"/>
      <c r="V551" s="130"/>
    </row>
    <row r="552" ht="15.75" customHeight="1">
      <c r="O552" s="130"/>
      <c r="P552" s="130"/>
      <c r="Q552" s="130"/>
      <c r="R552" s="130"/>
      <c r="S552" s="130"/>
      <c r="T552" s="130"/>
      <c r="U552" s="130"/>
      <c r="V552" s="130"/>
    </row>
    <row r="553" ht="15.75" customHeight="1">
      <c r="O553" s="130"/>
      <c r="P553" s="130"/>
      <c r="Q553" s="130"/>
      <c r="R553" s="130"/>
      <c r="S553" s="130"/>
      <c r="T553" s="130"/>
      <c r="U553" s="130"/>
      <c r="V553" s="130"/>
    </row>
    <row r="554" ht="15.75" customHeight="1">
      <c r="O554" s="130"/>
      <c r="P554" s="130"/>
      <c r="Q554" s="130"/>
      <c r="R554" s="130"/>
      <c r="S554" s="130"/>
      <c r="T554" s="130"/>
      <c r="U554" s="130"/>
      <c r="V554" s="130"/>
    </row>
    <row r="555" ht="15.75" customHeight="1">
      <c r="O555" s="130"/>
      <c r="P555" s="130"/>
      <c r="Q555" s="130"/>
      <c r="R555" s="130"/>
      <c r="S555" s="130"/>
      <c r="T555" s="130"/>
      <c r="U555" s="130"/>
      <c r="V555" s="130"/>
    </row>
    <row r="556" ht="15.75" customHeight="1">
      <c r="O556" s="130"/>
      <c r="P556" s="130"/>
      <c r="Q556" s="130"/>
      <c r="R556" s="130"/>
      <c r="S556" s="130"/>
      <c r="T556" s="130"/>
      <c r="U556" s="130"/>
      <c r="V556" s="130"/>
    </row>
    <row r="557" ht="15.75" customHeight="1">
      <c r="O557" s="130"/>
      <c r="P557" s="130"/>
      <c r="Q557" s="130"/>
      <c r="R557" s="130"/>
      <c r="S557" s="130"/>
      <c r="T557" s="130"/>
      <c r="U557" s="130"/>
      <c r="V557" s="130"/>
    </row>
    <row r="558" ht="15.75" customHeight="1">
      <c r="O558" s="130"/>
      <c r="P558" s="130"/>
      <c r="Q558" s="130"/>
      <c r="R558" s="130"/>
      <c r="S558" s="130"/>
      <c r="T558" s="130"/>
      <c r="U558" s="130"/>
      <c r="V558" s="130"/>
    </row>
    <row r="559" ht="15.75" customHeight="1">
      <c r="O559" s="130"/>
      <c r="P559" s="130"/>
      <c r="Q559" s="130"/>
      <c r="R559" s="130"/>
      <c r="S559" s="130"/>
      <c r="T559" s="130"/>
      <c r="U559" s="130"/>
      <c r="V559" s="130"/>
    </row>
    <row r="560" ht="15.75" customHeight="1">
      <c r="O560" s="130"/>
      <c r="P560" s="130"/>
      <c r="Q560" s="130"/>
      <c r="R560" s="130"/>
      <c r="S560" s="130"/>
      <c r="T560" s="130"/>
      <c r="U560" s="130"/>
      <c r="V560" s="130"/>
    </row>
    <row r="561" ht="15.75" customHeight="1">
      <c r="O561" s="130"/>
      <c r="P561" s="130"/>
      <c r="Q561" s="130"/>
      <c r="R561" s="130"/>
      <c r="S561" s="130"/>
      <c r="T561" s="130"/>
      <c r="U561" s="130"/>
      <c r="V561" s="130"/>
    </row>
    <row r="562" ht="15.75" customHeight="1">
      <c r="O562" s="130"/>
      <c r="P562" s="130"/>
      <c r="Q562" s="130"/>
      <c r="R562" s="130"/>
      <c r="S562" s="130"/>
      <c r="T562" s="130"/>
      <c r="U562" s="130"/>
      <c r="V562" s="130"/>
    </row>
    <row r="563" ht="15.75" customHeight="1">
      <c r="O563" s="130"/>
      <c r="P563" s="130"/>
      <c r="Q563" s="130"/>
      <c r="R563" s="130"/>
      <c r="S563" s="130"/>
      <c r="T563" s="130"/>
      <c r="U563" s="130"/>
      <c r="V563" s="130"/>
    </row>
    <row r="564" ht="15.75" customHeight="1">
      <c r="O564" s="130"/>
      <c r="P564" s="130"/>
      <c r="Q564" s="130"/>
      <c r="R564" s="130"/>
      <c r="S564" s="130"/>
      <c r="T564" s="130"/>
      <c r="U564" s="130"/>
      <c r="V564" s="130"/>
    </row>
    <row r="565" ht="15.75" customHeight="1">
      <c r="O565" s="130"/>
      <c r="P565" s="130"/>
      <c r="Q565" s="130"/>
      <c r="R565" s="130"/>
      <c r="S565" s="130"/>
      <c r="T565" s="130"/>
      <c r="U565" s="130"/>
      <c r="V565" s="130"/>
    </row>
    <row r="566" ht="15.75" customHeight="1">
      <c r="O566" s="130"/>
      <c r="P566" s="130"/>
      <c r="Q566" s="130"/>
      <c r="R566" s="130"/>
      <c r="S566" s="130"/>
      <c r="T566" s="130"/>
      <c r="U566" s="130"/>
      <c r="V566" s="130"/>
    </row>
    <row r="567" ht="15.75" customHeight="1">
      <c r="O567" s="130"/>
      <c r="P567" s="130"/>
      <c r="Q567" s="130"/>
      <c r="R567" s="130"/>
      <c r="S567" s="130"/>
      <c r="T567" s="130"/>
      <c r="U567" s="130"/>
      <c r="V567" s="130"/>
    </row>
    <row r="568" ht="15.75" customHeight="1">
      <c r="O568" s="130"/>
      <c r="P568" s="130"/>
      <c r="Q568" s="130"/>
      <c r="R568" s="130"/>
      <c r="S568" s="130"/>
      <c r="T568" s="130"/>
      <c r="U568" s="130"/>
      <c r="V568" s="130"/>
    </row>
    <row r="569" ht="15.75" customHeight="1">
      <c r="O569" s="130"/>
      <c r="P569" s="130"/>
      <c r="Q569" s="130"/>
      <c r="R569" s="130"/>
      <c r="S569" s="130"/>
      <c r="T569" s="130"/>
      <c r="U569" s="130"/>
      <c r="V569" s="130"/>
    </row>
    <row r="570" ht="15.75" customHeight="1">
      <c r="O570" s="130"/>
      <c r="P570" s="130"/>
      <c r="Q570" s="130"/>
      <c r="R570" s="130"/>
      <c r="S570" s="130"/>
      <c r="T570" s="130"/>
      <c r="U570" s="130"/>
      <c r="V570" s="130"/>
    </row>
    <row r="571" ht="15.75" customHeight="1">
      <c r="O571" s="130"/>
      <c r="P571" s="130"/>
      <c r="Q571" s="130"/>
      <c r="R571" s="130"/>
      <c r="S571" s="130"/>
      <c r="T571" s="130"/>
      <c r="U571" s="130"/>
      <c r="V571" s="130"/>
    </row>
    <row r="572" ht="15.75" customHeight="1">
      <c r="O572" s="130"/>
      <c r="P572" s="130"/>
      <c r="Q572" s="130"/>
      <c r="R572" s="130"/>
      <c r="S572" s="130"/>
      <c r="T572" s="130"/>
      <c r="U572" s="130"/>
      <c r="V572" s="130"/>
    </row>
    <row r="573" ht="15.75" customHeight="1">
      <c r="O573" s="130"/>
      <c r="P573" s="130"/>
      <c r="Q573" s="130"/>
      <c r="R573" s="130"/>
      <c r="S573" s="130"/>
      <c r="T573" s="130"/>
      <c r="U573" s="130"/>
      <c r="V573" s="130"/>
    </row>
    <row r="574" ht="15.75" customHeight="1">
      <c r="O574" s="130"/>
      <c r="P574" s="130"/>
      <c r="Q574" s="130"/>
      <c r="R574" s="130"/>
      <c r="S574" s="130"/>
      <c r="T574" s="130"/>
      <c r="U574" s="130"/>
      <c r="V574" s="130"/>
    </row>
    <row r="575" ht="15.75" customHeight="1">
      <c r="O575" s="130"/>
      <c r="P575" s="130"/>
      <c r="Q575" s="130"/>
      <c r="R575" s="130"/>
      <c r="S575" s="130"/>
      <c r="T575" s="130"/>
      <c r="U575" s="130"/>
      <c r="V575" s="130"/>
    </row>
    <row r="576" ht="15.75" customHeight="1">
      <c r="O576" s="130"/>
      <c r="P576" s="130"/>
      <c r="Q576" s="130"/>
      <c r="R576" s="130"/>
      <c r="S576" s="130"/>
      <c r="T576" s="130"/>
      <c r="U576" s="130"/>
      <c r="V576" s="130"/>
    </row>
    <row r="577" ht="15.75" customHeight="1">
      <c r="O577" s="130"/>
      <c r="P577" s="130"/>
      <c r="Q577" s="130"/>
      <c r="R577" s="130"/>
      <c r="S577" s="130"/>
      <c r="T577" s="130"/>
      <c r="U577" s="130"/>
      <c r="V577" s="130"/>
    </row>
    <row r="578" ht="15.75" customHeight="1">
      <c r="O578" s="130"/>
      <c r="P578" s="130"/>
      <c r="Q578" s="130"/>
      <c r="R578" s="130"/>
      <c r="S578" s="130"/>
      <c r="T578" s="130"/>
      <c r="U578" s="130"/>
      <c r="V578" s="130"/>
    </row>
    <row r="579" ht="15.75" customHeight="1">
      <c r="O579" s="130"/>
      <c r="P579" s="130"/>
      <c r="Q579" s="130"/>
      <c r="R579" s="130"/>
      <c r="S579" s="130"/>
      <c r="T579" s="130"/>
      <c r="U579" s="130"/>
      <c r="V579" s="130"/>
    </row>
    <row r="580" ht="15.75" customHeight="1">
      <c r="O580" s="130"/>
      <c r="P580" s="130"/>
      <c r="Q580" s="130"/>
      <c r="R580" s="130"/>
      <c r="S580" s="130"/>
      <c r="T580" s="130"/>
      <c r="U580" s="130"/>
      <c r="V580" s="130"/>
    </row>
    <row r="581" ht="15.75" customHeight="1">
      <c r="O581" s="130"/>
      <c r="P581" s="130"/>
      <c r="Q581" s="130"/>
      <c r="R581" s="130"/>
      <c r="S581" s="130"/>
      <c r="T581" s="130"/>
      <c r="U581" s="130"/>
      <c r="V581" s="130"/>
    </row>
    <row r="582" ht="15.75" customHeight="1">
      <c r="O582" s="130"/>
      <c r="P582" s="130"/>
      <c r="Q582" s="130"/>
      <c r="R582" s="130"/>
      <c r="S582" s="130"/>
      <c r="T582" s="130"/>
      <c r="U582" s="130"/>
      <c r="V582" s="130"/>
    </row>
    <row r="583" ht="15.75" customHeight="1">
      <c r="O583" s="130"/>
      <c r="P583" s="130"/>
      <c r="Q583" s="130"/>
      <c r="R583" s="130"/>
      <c r="S583" s="130"/>
      <c r="T583" s="130"/>
      <c r="U583" s="130"/>
      <c r="V583" s="130"/>
    </row>
    <row r="584" ht="15.75" customHeight="1">
      <c r="O584" s="130"/>
      <c r="P584" s="130"/>
      <c r="Q584" s="130"/>
      <c r="R584" s="130"/>
      <c r="S584" s="130"/>
      <c r="T584" s="130"/>
      <c r="U584" s="130"/>
      <c r="V584" s="130"/>
    </row>
    <row r="585" ht="15.75" customHeight="1">
      <c r="O585" s="130"/>
      <c r="P585" s="130"/>
      <c r="Q585" s="130"/>
      <c r="R585" s="130"/>
      <c r="S585" s="130"/>
      <c r="T585" s="130"/>
      <c r="U585" s="130"/>
      <c r="V585" s="130"/>
    </row>
    <row r="586" ht="15.75" customHeight="1">
      <c r="O586" s="130"/>
      <c r="P586" s="130"/>
      <c r="Q586" s="130"/>
      <c r="R586" s="130"/>
      <c r="S586" s="130"/>
      <c r="T586" s="130"/>
      <c r="U586" s="130"/>
      <c r="V586" s="130"/>
    </row>
    <row r="587" ht="15.75" customHeight="1">
      <c r="O587" s="130"/>
      <c r="P587" s="130"/>
      <c r="Q587" s="130"/>
      <c r="R587" s="130"/>
      <c r="S587" s="130"/>
      <c r="T587" s="130"/>
      <c r="U587" s="130"/>
      <c r="V587" s="130"/>
    </row>
    <row r="588" ht="15.75" customHeight="1">
      <c r="O588" s="130"/>
      <c r="P588" s="130"/>
      <c r="Q588" s="130"/>
      <c r="R588" s="130"/>
      <c r="S588" s="130"/>
      <c r="T588" s="130"/>
      <c r="U588" s="130"/>
      <c r="V588" s="130"/>
    </row>
    <row r="589" ht="15.75" customHeight="1">
      <c r="O589" s="130"/>
      <c r="P589" s="130"/>
      <c r="Q589" s="130"/>
      <c r="R589" s="130"/>
      <c r="S589" s="130"/>
      <c r="T589" s="130"/>
      <c r="U589" s="130"/>
      <c r="V589" s="130"/>
    </row>
    <row r="590" ht="15.75" customHeight="1">
      <c r="O590" s="130"/>
      <c r="P590" s="130"/>
      <c r="Q590" s="130"/>
      <c r="R590" s="130"/>
      <c r="S590" s="130"/>
      <c r="T590" s="130"/>
      <c r="U590" s="130"/>
      <c r="V590" s="130"/>
    </row>
    <row r="591" ht="15.75" customHeight="1">
      <c r="O591" s="130"/>
      <c r="P591" s="130"/>
      <c r="Q591" s="130"/>
      <c r="R591" s="130"/>
      <c r="S591" s="130"/>
      <c r="T591" s="130"/>
      <c r="U591" s="130"/>
      <c r="V591" s="130"/>
    </row>
    <row r="592" ht="15.75" customHeight="1">
      <c r="O592" s="130"/>
      <c r="P592" s="130"/>
      <c r="Q592" s="130"/>
      <c r="R592" s="130"/>
      <c r="S592" s="130"/>
      <c r="T592" s="130"/>
      <c r="U592" s="130"/>
      <c r="V592" s="130"/>
    </row>
    <row r="593" ht="15.75" customHeight="1">
      <c r="O593" s="130"/>
      <c r="P593" s="130"/>
      <c r="Q593" s="130"/>
      <c r="R593" s="130"/>
      <c r="S593" s="130"/>
      <c r="T593" s="130"/>
      <c r="U593" s="130"/>
      <c r="V593" s="130"/>
    </row>
    <row r="594" ht="15.75" customHeight="1">
      <c r="O594" s="130"/>
      <c r="P594" s="130"/>
      <c r="Q594" s="130"/>
      <c r="R594" s="130"/>
      <c r="S594" s="130"/>
      <c r="T594" s="130"/>
      <c r="U594" s="130"/>
      <c r="V594" s="130"/>
    </row>
    <row r="595" ht="15.75" customHeight="1">
      <c r="O595" s="130"/>
      <c r="P595" s="130"/>
      <c r="Q595" s="130"/>
      <c r="R595" s="130"/>
      <c r="S595" s="130"/>
      <c r="T595" s="130"/>
      <c r="U595" s="130"/>
      <c r="V595" s="130"/>
    </row>
    <row r="596" ht="15.75" customHeight="1">
      <c r="O596" s="130"/>
      <c r="P596" s="130"/>
      <c r="Q596" s="130"/>
      <c r="R596" s="130"/>
      <c r="S596" s="130"/>
      <c r="T596" s="130"/>
      <c r="U596" s="130"/>
      <c r="V596" s="130"/>
    </row>
    <row r="597" ht="15.75" customHeight="1">
      <c r="O597" s="130"/>
      <c r="P597" s="130"/>
      <c r="Q597" s="130"/>
      <c r="R597" s="130"/>
      <c r="S597" s="130"/>
      <c r="T597" s="130"/>
      <c r="U597" s="130"/>
      <c r="V597" s="130"/>
    </row>
    <row r="598" ht="15.75" customHeight="1">
      <c r="O598" s="130"/>
      <c r="P598" s="130"/>
      <c r="Q598" s="130"/>
      <c r="R598" s="130"/>
      <c r="S598" s="130"/>
      <c r="T598" s="130"/>
      <c r="U598" s="130"/>
      <c r="V598" s="130"/>
    </row>
    <row r="599" ht="15.75" customHeight="1">
      <c r="O599" s="130"/>
      <c r="P599" s="130"/>
      <c r="Q599" s="130"/>
      <c r="R599" s="130"/>
      <c r="S599" s="130"/>
      <c r="T599" s="130"/>
      <c r="U599" s="130"/>
      <c r="V599" s="130"/>
    </row>
    <row r="600" ht="15.75" customHeight="1">
      <c r="O600" s="130"/>
      <c r="P600" s="130"/>
      <c r="Q600" s="130"/>
      <c r="R600" s="130"/>
      <c r="S600" s="130"/>
      <c r="T600" s="130"/>
      <c r="U600" s="130"/>
      <c r="V600" s="130"/>
    </row>
    <row r="601" ht="15.75" customHeight="1">
      <c r="O601" s="130"/>
      <c r="P601" s="130"/>
      <c r="Q601" s="130"/>
      <c r="R601" s="130"/>
      <c r="S601" s="130"/>
      <c r="T601" s="130"/>
      <c r="U601" s="130"/>
      <c r="V601" s="130"/>
    </row>
    <row r="602" ht="15.75" customHeight="1">
      <c r="O602" s="130"/>
      <c r="P602" s="130"/>
      <c r="Q602" s="130"/>
      <c r="R602" s="130"/>
      <c r="S602" s="130"/>
      <c r="T602" s="130"/>
      <c r="U602" s="130"/>
      <c r="V602" s="130"/>
    </row>
    <row r="603" ht="15.75" customHeight="1">
      <c r="O603" s="130"/>
      <c r="P603" s="130"/>
      <c r="Q603" s="130"/>
      <c r="R603" s="130"/>
      <c r="S603" s="130"/>
      <c r="T603" s="130"/>
      <c r="U603" s="130"/>
      <c r="V603" s="130"/>
    </row>
    <row r="604" ht="15.75" customHeight="1">
      <c r="O604" s="130"/>
      <c r="P604" s="130"/>
      <c r="Q604" s="130"/>
      <c r="R604" s="130"/>
      <c r="S604" s="130"/>
      <c r="T604" s="130"/>
      <c r="U604" s="130"/>
      <c r="V604" s="130"/>
    </row>
    <row r="605" ht="15.75" customHeight="1">
      <c r="O605" s="130"/>
      <c r="P605" s="130"/>
      <c r="Q605" s="130"/>
      <c r="R605" s="130"/>
      <c r="S605" s="130"/>
      <c r="T605" s="130"/>
      <c r="U605" s="130"/>
      <c r="V605" s="130"/>
    </row>
    <row r="606" ht="15.75" customHeight="1">
      <c r="O606" s="130"/>
      <c r="P606" s="130"/>
      <c r="Q606" s="130"/>
      <c r="R606" s="130"/>
      <c r="S606" s="130"/>
      <c r="T606" s="130"/>
      <c r="U606" s="130"/>
      <c r="V606" s="130"/>
    </row>
    <row r="607" ht="15.75" customHeight="1">
      <c r="O607" s="130"/>
      <c r="P607" s="130"/>
      <c r="Q607" s="130"/>
      <c r="R607" s="130"/>
      <c r="S607" s="130"/>
      <c r="T607" s="130"/>
      <c r="U607" s="130"/>
      <c r="V607" s="130"/>
    </row>
    <row r="608" ht="15.75" customHeight="1">
      <c r="O608" s="130"/>
      <c r="P608" s="130"/>
      <c r="Q608" s="130"/>
      <c r="R608" s="130"/>
      <c r="S608" s="130"/>
      <c r="T608" s="130"/>
      <c r="U608" s="130"/>
      <c r="V608" s="130"/>
    </row>
    <row r="609" ht="15.75" customHeight="1">
      <c r="O609" s="130"/>
      <c r="P609" s="130"/>
      <c r="Q609" s="130"/>
      <c r="R609" s="130"/>
      <c r="S609" s="130"/>
      <c r="T609" s="130"/>
      <c r="U609" s="130"/>
      <c r="V609" s="130"/>
    </row>
    <row r="610" ht="15.75" customHeight="1">
      <c r="O610" s="130"/>
      <c r="P610" s="130"/>
      <c r="Q610" s="130"/>
      <c r="R610" s="130"/>
      <c r="S610" s="130"/>
      <c r="T610" s="130"/>
      <c r="U610" s="130"/>
      <c r="V610" s="130"/>
    </row>
    <row r="611" ht="15.75" customHeight="1">
      <c r="O611" s="130"/>
      <c r="P611" s="130"/>
      <c r="Q611" s="130"/>
      <c r="R611" s="130"/>
      <c r="S611" s="130"/>
      <c r="T611" s="130"/>
      <c r="U611" s="130"/>
      <c r="V611" s="130"/>
    </row>
    <row r="612" ht="15.75" customHeight="1">
      <c r="O612" s="130"/>
      <c r="P612" s="130"/>
      <c r="Q612" s="130"/>
      <c r="R612" s="130"/>
      <c r="S612" s="130"/>
      <c r="T612" s="130"/>
      <c r="U612" s="130"/>
      <c r="V612" s="130"/>
    </row>
    <row r="613" ht="15.75" customHeight="1">
      <c r="O613" s="130"/>
      <c r="P613" s="130"/>
      <c r="Q613" s="130"/>
      <c r="R613" s="130"/>
      <c r="S613" s="130"/>
      <c r="T613" s="130"/>
      <c r="U613" s="130"/>
      <c r="V613" s="130"/>
    </row>
    <row r="614" ht="15.75" customHeight="1">
      <c r="O614" s="130"/>
      <c r="P614" s="130"/>
      <c r="Q614" s="130"/>
      <c r="R614" s="130"/>
      <c r="S614" s="130"/>
      <c r="T614" s="130"/>
      <c r="U614" s="130"/>
      <c r="V614" s="130"/>
    </row>
    <row r="615" ht="15.75" customHeight="1">
      <c r="O615" s="130"/>
      <c r="P615" s="130"/>
      <c r="Q615" s="130"/>
      <c r="R615" s="130"/>
      <c r="S615" s="130"/>
      <c r="T615" s="130"/>
      <c r="U615" s="130"/>
      <c r="V615" s="130"/>
    </row>
    <row r="616" ht="15.75" customHeight="1">
      <c r="O616" s="130"/>
      <c r="P616" s="130"/>
      <c r="Q616" s="130"/>
      <c r="R616" s="130"/>
      <c r="S616" s="130"/>
      <c r="T616" s="130"/>
      <c r="U616" s="130"/>
      <c r="V616" s="130"/>
    </row>
    <row r="617" ht="15.75" customHeight="1">
      <c r="O617" s="130"/>
      <c r="P617" s="130"/>
      <c r="Q617" s="130"/>
      <c r="R617" s="130"/>
      <c r="S617" s="130"/>
      <c r="T617" s="130"/>
      <c r="U617" s="130"/>
      <c r="V617" s="130"/>
    </row>
    <row r="618" ht="15.75" customHeight="1">
      <c r="O618" s="130"/>
      <c r="P618" s="130"/>
      <c r="Q618" s="130"/>
      <c r="R618" s="130"/>
      <c r="S618" s="130"/>
      <c r="T618" s="130"/>
      <c r="U618" s="130"/>
      <c r="V618" s="130"/>
    </row>
    <row r="619" ht="15.75" customHeight="1">
      <c r="O619" s="130"/>
      <c r="P619" s="130"/>
      <c r="Q619" s="130"/>
      <c r="R619" s="130"/>
      <c r="S619" s="130"/>
      <c r="T619" s="130"/>
      <c r="U619" s="130"/>
      <c r="V619" s="130"/>
    </row>
    <row r="620" ht="15.75" customHeight="1">
      <c r="O620" s="130"/>
      <c r="P620" s="130"/>
      <c r="Q620" s="130"/>
      <c r="R620" s="130"/>
      <c r="S620" s="130"/>
      <c r="T620" s="130"/>
      <c r="U620" s="130"/>
      <c r="V620" s="130"/>
    </row>
    <row r="621" ht="15.75" customHeight="1">
      <c r="O621" s="130"/>
      <c r="P621" s="130"/>
      <c r="Q621" s="130"/>
      <c r="R621" s="130"/>
      <c r="S621" s="130"/>
      <c r="T621" s="130"/>
      <c r="U621" s="130"/>
      <c r="V621" s="130"/>
    </row>
    <row r="622" ht="15.75" customHeight="1">
      <c r="O622" s="130"/>
      <c r="P622" s="130"/>
      <c r="Q622" s="130"/>
      <c r="R622" s="130"/>
      <c r="S622" s="130"/>
      <c r="T622" s="130"/>
      <c r="U622" s="130"/>
      <c r="V622" s="130"/>
    </row>
    <row r="623" ht="15.75" customHeight="1">
      <c r="O623" s="130"/>
      <c r="P623" s="130"/>
      <c r="Q623" s="130"/>
      <c r="R623" s="130"/>
      <c r="S623" s="130"/>
      <c r="T623" s="130"/>
      <c r="U623" s="130"/>
      <c r="V623" s="130"/>
    </row>
    <row r="624" ht="15.75" customHeight="1">
      <c r="O624" s="130"/>
      <c r="P624" s="130"/>
      <c r="Q624" s="130"/>
      <c r="R624" s="130"/>
      <c r="S624" s="130"/>
      <c r="T624" s="130"/>
      <c r="U624" s="130"/>
      <c r="V624" s="130"/>
    </row>
    <row r="625" ht="15.75" customHeight="1">
      <c r="O625" s="130"/>
      <c r="P625" s="130"/>
      <c r="Q625" s="130"/>
      <c r="R625" s="130"/>
      <c r="S625" s="130"/>
      <c r="T625" s="130"/>
      <c r="U625" s="130"/>
      <c r="V625" s="130"/>
    </row>
    <row r="626" ht="15.75" customHeight="1">
      <c r="O626" s="130"/>
      <c r="P626" s="130"/>
      <c r="Q626" s="130"/>
      <c r="R626" s="130"/>
      <c r="S626" s="130"/>
      <c r="T626" s="130"/>
      <c r="U626" s="130"/>
      <c r="V626" s="130"/>
    </row>
    <row r="627" ht="15.75" customHeight="1">
      <c r="O627" s="130"/>
      <c r="P627" s="130"/>
      <c r="Q627" s="130"/>
      <c r="R627" s="130"/>
      <c r="S627" s="130"/>
      <c r="T627" s="130"/>
      <c r="U627" s="130"/>
      <c r="V627" s="130"/>
    </row>
    <row r="628" ht="15.75" customHeight="1">
      <c r="O628" s="130"/>
      <c r="P628" s="130"/>
      <c r="Q628" s="130"/>
      <c r="R628" s="130"/>
      <c r="S628" s="130"/>
      <c r="T628" s="130"/>
      <c r="U628" s="130"/>
      <c r="V628" s="130"/>
    </row>
    <row r="629" ht="15.75" customHeight="1">
      <c r="O629" s="130"/>
      <c r="P629" s="130"/>
      <c r="Q629" s="130"/>
      <c r="R629" s="130"/>
      <c r="S629" s="130"/>
      <c r="T629" s="130"/>
      <c r="U629" s="130"/>
      <c r="V629" s="130"/>
    </row>
    <row r="630" ht="15.75" customHeight="1">
      <c r="O630" s="130"/>
      <c r="P630" s="130"/>
      <c r="Q630" s="130"/>
      <c r="R630" s="130"/>
      <c r="S630" s="130"/>
      <c r="T630" s="130"/>
      <c r="U630" s="130"/>
      <c r="V630" s="130"/>
    </row>
    <row r="631" ht="15.75" customHeight="1">
      <c r="O631" s="130"/>
      <c r="P631" s="130"/>
      <c r="Q631" s="130"/>
      <c r="R631" s="130"/>
      <c r="S631" s="130"/>
      <c r="T631" s="130"/>
      <c r="U631" s="130"/>
      <c r="V631" s="130"/>
    </row>
    <row r="632" ht="15.75" customHeight="1">
      <c r="O632" s="130"/>
      <c r="P632" s="130"/>
      <c r="Q632" s="130"/>
      <c r="R632" s="130"/>
      <c r="S632" s="130"/>
      <c r="T632" s="130"/>
      <c r="U632" s="130"/>
      <c r="V632" s="130"/>
    </row>
    <row r="633" ht="15.75" customHeight="1">
      <c r="O633" s="130"/>
      <c r="P633" s="130"/>
      <c r="Q633" s="130"/>
      <c r="R633" s="130"/>
      <c r="S633" s="130"/>
      <c r="T633" s="130"/>
      <c r="U633" s="130"/>
      <c r="V633" s="130"/>
    </row>
    <row r="634" ht="15.75" customHeight="1">
      <c r="O634" s="130"/>
      <c r="P634" s="130"/>
      <c r="Q634" s="130"/>
      <c r="R634" s="130"/>
      <c r="S634" s="130"/>
      <c r="T634" s="130"/>
      <c r="U634" s="130"/>
      <c r="V634" s="130"/>
    </row>
    <row r="635" ht="15.75" customHeight="1">
      <c r="O635" s="130"/>
      <c r="P635" s="130"/>
      <c r="Q635" s="130"/>
      <c r="R635" s="130"/>
      <c r="S635" s="130"/>
      <c r="T635" s="130"/>
      <c r="U635" s="130"/>
      <c r="V635" s="130"/>
    </row>
    <row r="636" ht="15.75" customHeight="1">
      <c r="O636" s="130"/>
      <c r="P636" s="130"/>
      <c r="Q636" s="130"/>
      <c r="R636" s="130"/>
      <c r="S636" s="130"/>
      <c r="T636" s="130"/>
      <c r="U636" s="130"/>
      <c r="V636" s="130"/>
    </row>
    <row r="637" ht="15.75" customHeight="1">
      <c r="O637" s="130"/>
      <c r="P637" s="130"/>
      <c r="Q637" s="130"/>
      <c r="R637" s="130"/>
      <c r="S637" s="130"/>
      <c r="T637" s="130"/>
      <c r="U637" s="130"/>
      <c r="V637" s="130"/>
    </row>
    <row r="638" ht="15.75" customHeight="1">
      <c r="O638" s="130"/>
      <c r="P638" s="130"/>
      <c r="Q638" s="130"/>
      <c r="R638" s="130"/>
      <c r="S638" s="130"/>
      <c r="T638" s="130"/>
      <c r="U638" s="130"/>
      <c r="V638" s="130"/>
    </row>
    <row r="639" ht="15.75" customHeight="1">
      <c r="O639" s="130"/>
      <c r="P639" s="130"/>
      <c r="Q639" s="130"/>
      <c r="R639" s="130"/>
      <c r="S639" s="130"/>
      <c r="T639" s="130"/>
      <c r="U639" s="130"/>
      <c r="V639" s="130"/>
    </row>
    <row r="640" ht="15.75" customHeight="1">
      <c r="O640" s="130"/>
      <c r="P640" s="130"/>
      <c r="Q640" s="130"/>
      <c r="R640" s="130"/>
      <c r="S640" s="130"/>
      <c r="T640" s="130"/>
      <c r="U640" s="130"/>
      <c r="V640" s="130"/>
    </row>
    <row r="641" ht="15.75" customHeight="1">
      <c r="O641" s="130"/>
      <c r="P641" s="130"/>
      <c r="Q641" s="130"/>
      <c r="R641" s="130"/>
      <c r="S641" s="130"/>
      <c r="T641" s="130"/>
      <c r="U641" s="130"/>
      <c r="V641" s="130"/>
    </row>
    <row r="642" ht="15.75" customHeight="1">
      <c r="O642" s="130"/>
      <c r="P642" s="130"/>
      <c r="Q642" s="130"/>
      <c r="R642" s="130"/>
      <c r="S642" s="130"/>
      <c r="T642" s="130"/>
      <c r="U642" s="130"/>
      <c r="V642" s="130"/>
    </row>
    <row r="643" ht="15.75" customHeight="1">
      <c r="O643" s="130"/>
      <c r="P643" s="130"/>
      <c r="Q643" s="130"/>
      <c r="R643" s="130"/>
      <c r="S643" s="130"/>
      <c r="T643" s="130"/>
      <c r="U643" s="130"/>
      <c r="V643" s="130"/>
    </row>
    <row r="644" ht="15.75" customHeight="1">
      <c r="O644" s="130"/>
      <c r="P644" s="130"/>
      <c r="Q644" s="130"/>
      <c r="R644" s="130"/>
      <c r="S644" s="130"/>
      <c r="T644" s="130"/>
      <c r="U644" s="130"/>
      <c r="V644" s="130"/>
    </row>
    <row r="645" ht="15.75" customHeight="1">
      <c r="O645" s="130"/>
      <c r="P645" s="130"/>
      <c r="Q645" s="130"/>
      <c r="R645" s="130"/>
      <c r="S645" s="130"/>
      <c r="T645" s="130"/>
      <c r="U645" s="130"/>
      <c r="V645" s="130"/>
    </row>
    <row r="646" ht="15.75" customHeight="1">
      <c r="O646" s="130"/>
      <c r="P646" s="130"/>
      <c r="Q646" s="130"/>
      <c r="R646" s="130"/>
      <c r="S646" s="130"/>
      <c r="T646" s="130"/>
      <c r="U646" s="130"/>
      <c r="V646" s="130"/>
    </row>
    <row r="647" ht="15.75" customHeight="1">
      <c r="O647" s="130"/>
      <c r="P647" s="130"/>
      <c r="Q647" s="130"/>
      <c r="R647" s="130"/>
      <c r="S647" s="130"/>
      <c r="T647" s="130"/>
      <c r="U647" s="130"/>
      <c r="V647" s="130"/>
    </row>
    <row r="648" ht="15.75" customHeight="1">
      <c r="O648" s="130"/>
      <c r="P648" s="130"/>
      <c r="Q648" s="130"/>
      <c r="R648" s="130"/>
      <c r="S648" s="130"/>
      <c r="T648" s="130"/>
      <c r="U648" s="130"/>
      <c r="V648" s="130"/>
    </row>
    <row r="649" ht="15.75" customHeight="1">
      <c r="O649" s="130"/>
      <c r="P649" s="130"/>
      <c r="Q649" s="130"/>
      <c r="R649" s="130"/>
      <c r="S649" s="130"/>
      <c r="T649" s="130"/>
      <c r="U649" s="130"/>
      <c r="V649" s="130"/>
    </row>
    <row r="650" ht="15.75" customHeight="1">
      <c r="O650" s="130"/>
      <c r="P650" s="130"/>
      <c r="Q650" s="130"/>
      <c r="R650" s="130"/>
      <c r="S650" s="130"/>
      <c r="T650" s="130"/>
      <c r="U650" s="130"/>
      <c r="V650" s="130"/>
    </row>
    <row r="651" ht="15.75" customHeight="1">
      <c r="O651" s="130"/>
      <c r="P651" s="130"/>
      <c r="Q651" s="130"/>
      <c r="R651" s="130"/>
      <c r="S651" s="130"/>
      <c r="T651" s="130"/>
      <c r="U651" s="130"/>
      <c r="V651" s="130"/>
    </row>
    <row r="652" ht="15.75" customHeight="1">
      <c r="O652" s="130"/>
      <c r="P652" s="130"/>
      <c r="Q652" s="130"/>
      <c r="R652" s="130"/>
      <c r="S652" s="130"/>
      <c r="T652" s="130"/>
      <c r="U652" s="130"/>
      <c r="V652" s="130"/>
    </row>
    <row r="653" ht="15.75" customHeight="1">
      <c r="O653" s="130"/>
      <c r="P653" s="130"/>
      <c r="Q653" s="130"/>
      <c r="R653" s="130"/>
      <c r="S653" s="130"/>
      <c r="T653" s="130"/>
      <c r="U653" s="130"/>
      <c r="V653" s="130"/>
    </row>
    <row r="654" ht="15.75" customHeight="1">
      <c r="O654" s="130"/>
      <c r="P654" s="130"/>
      <c r="Q654" s="130"/>
      <c r="R654" s="130"/>
      <c r="S654" s="130"/>
      <c r="T654" s="130"/>
      <c r="U654" s="130"/>
      <c r="V654" s="130"/>
    </row>
    <row r="655" ht="15.75" customHeight="1">
      <c r="O655" s="130"/>
      <c r="P655" s="130"/>
      <c r="Q655" s="130"/>
      <c r="R655" s="130"/>
      <c r="S655" s="130"/>
      <c r="T655" s="130"/>
      <c r="U655" s="130"/>
      <c r="V655" s="130"/>
    </row>
    <row r="656" ht="15.75" customHeight="1">
      <c r="O656" s="130"/>
      <c r="P656" s="130"/>
      <c r="Q656" s="130"/>
      <c r="R656" s="130"/>
      <c r="S656" s="130"/>
      <c r="T656" s="130"/>
      <c r="U656" s="130"/>
      <c r="V656" s="130"/>
    </row>
    <row r="657" ht="15.75" customHeight="1">
      <c r="O657" s="130"/>
      <c r="P657" s="130"/>
      <c r="Q657" s="130"/>
      <c r="R657" s="130"/>
      <c r="S657" s="130"/>
      <c r="T657" s="130"/>
      <c r="U657" s="130"/>
      <c r="V657" s="130"/>
    </row>
    <row r="658" ht="15.75" customHeight="1">
      <c r="O658" s="130"/>
      <c r="P658" s="130"/>
      <c r="Q658" s="130"/>
      <c r="R658" s="130"/>
      <c r="S658" s="130"/>
      <c r="T658" s="130"/>
      <c r="U658" s="130"/>
      <c r="V658" s="130"/>
    </row>
    <row r="659" ht="15.75" customHeight="1">
      <c r="O659" s="130"/>
      <c r="P659" s="130"/>
      <c r="Q659" s="130"/>
      <c r="R659" s="130"/>
      <c r="S659" s="130"/>
      <c r="T659" s="130"/>
      <c r="U659" s="130"/>
      <c r="V659" s="130"/>
    </row>
    <row r="660" ht="15.75" customHeight="1">
      <c r="O660" s="130"/>
      <c r="P660" s="130"/>
      <c r="Q660" s="130"/>
      <c r="R660" s="130"/>
      <c r="S660" s="130"/>
      <c r="T660" s="130"/>
      <c r="U660" s="130"/>
      <c r="V660" s="130"/>
    </row>
    <row r="661" ht="15.75" customHeight="1">
      <c r="O661" s="130"/>
      <c r="P661" s="130"/>
      <c r="Q661" s="130"/>
      <c r="R661" s="130"/>
      <c r="S661" s="130"/>
      <c r="T661" s="130"/>
      <c r="U661" s="130"/>
      <c r="V661" s="130"/>
    </row>
    <row r="662" ht="15.75" customHeight="1">
      <c r="O662" s="130"/>
      <c r="P662" s="130"/>
      <c r="Q662" s="130"/>
      <c r="R662" s="130"/>
      <c r="S662" s="130"/>
      <c r="T662" s="130"/>
      <c r="U662" s="130"/>
      <c r="V662" s="130"/>
    </row>
    <row r="663" ht="15.75" customHeight="1">
      <c r="O663" s="130"/>
      <c r="P663" s="130"/>
      <c r="Q663" s="130"/>
      <c r="R663" s="130"/>
      <c r="S663" s="130"/>
      <c r="T663" s="130"/>
      <c r="U663" s="130"/>
      <c r="V663" s="130"/>
    </row>
    <row r="664" ht="15.75" customHeight="1">
      <c r="O664" s="130"/>
      <c r="P664" s="130"/>
      <c r="Q664" s="130"/>
      <c r="R664" s="130"/>
      <c r="S664" s="130"/>
      <c r="T664" s="130"/>
      <c r="U664" s="130"/>
      <c r="V664" s="130"/>
    </row>
    <row r="665" ht="15.75" customHeight="1">
      <c r="O665" s="130"/>
      <c r="P665" s="130"/>
      <c r="Q665" s="130"/>
      <c r="R665" s="130"/>
      <c r="S665" s="130"/>
      <c r="T665" s="130"/>
      <c r="U665" s="130"/>
      <c r="V665" s="130"/>
    </row>
    <row r="666" ht="15.75" customHeight="1">
      <c r="O666" s="130"/>
      <c r="P666" s="130"/>
      <c r="Q666" s="130"/>
      <c r="R666" s="130"/>
      <c r="S666" s="130"/>
      <c r="T666" s="130"/>
      <c r="U666" s="130"/>
      <c r="V666" s="130"/>
    </row>
    <row r="667" ht="15.75" customHeight="1">
      <c r="O667" s="130"/>
      <c r="P667" s="130"/>
      <c r="Q667" s="130"/>
      <c r="R667" s="130"/>
      <c r="S667" s="130"/>
      <c r="T667" s="130"/>
      <c r="U667" s="130"/>
      <c r="V667" s="130"/>
    </row>
    <row r="668" ht="15.75" customHeight="1">
      <c r="O668" s="130"/>
      <c r="P668" s="130"/>
      <c r="Q668" s="130"/>
      <c r="R668" s="130"/>
      <c r="S668" s="130"/>
      <c r="T668" s="130"/>
      <c r="U668" s="130"/>
      <c r="V668" s="130"/>
    </row>
    <row r="669" ht="15.75" customHeight="1">
      <c r="O669" s="130"/>
      <c r="P669" s="130"/>
      <c r="Q669" s="130"/>
      <c r="R669" s="130"/>
      <c r="S669" s="130"/>
      <c r="T669" s="130"/>
      <c r="U669" s="130"/>
      <c r="V669" s="130"/>
    </row>
    <row r="670" ht="15.75" customHeight="1">
      <c r="O670" s="130"/>
      <c r="P670" s="130"/>
      <c r="Q670" s="130"/>
      <c r="R670" s="130"/>
      <c r="S670" s="130"/>
      <c r="T670" s="130"/>
      <c r="U670" s="130"/>
      <c r="V670" s="130"/>
    </row>
    <row r="671" ht="15.75" customHeight="1">
      <c r="O671" s="130"/>
      <c r="P671" s="130"/>
      <c r="Q671" s="130"/>
      <c r="R671" s="130"/>
      <c r="S671" s="130"/>
      <c r="T671" s="130"/>
      <c r="U671" s="130"/>
      <c r="V671" s="130"/>
    </row>
    <row r="672" ht="15.75" customHeight="1">
      <c r="O672" s="130"/>
      <c r="P672" s="130"/>
      <c r="Q672" s="130"/>
      <c r="R672" s="130"/>
      <c r="S672" s="130"/>
      <c r="T672" s="130"/>
      <c r="U672" s="130"/>
      <c r="V672" s="130"/>
    </row>
    <row r="673" ht="15.75" customHeight="1">
      <c r="O673" s="130"/>
      <c r="P673" s="130"/>
      <c r="Q673" s="130"/>
      <c r="R673" s="130"/>
      <c r="S673" s="130"/>
      <c r="T673" s="130"/>
      <c r="U673" s="130"/>
      <c r="V673" s="130"/>
    </row>
    <row r="674" ht="15.75" customHeight="1">
      <c r="O674" s="130"/>
      <c r="P674" s="130"/>
      <c r="Q674" s="130"/>
      <c r="R674" s="130"/>
      <c r="S674" s="130"/>
      <c r="T674" s="130"/>
      <c r="U674" s="130"/>
      <c r="V674" s="130"/>
    </row>
    <row r="675" ht="15.75" customHeight="1">
      <c r="O675" s="130"/>
      <c r="P675" s="130"/>
      <c r="Q675" s="130"/>
      <c r="R675" s="130"/>
      <c r="S675" s="130"/>
      <c r="T675" s="130"/>
      <c r="U675" s="130"/>
      <c r="V675" s="130"/>
    </row>
    <row r="676" ht="15.75" customHeight="1">
      <c r="O676" s="130"/>
      <c r="P676" s="130"/>
      <c r="Q676" s="130"/>
      <c r="R676" s="130"/>
      <c r="S676" s="130"/>
      <c r="T676" s="130"/>
      <c r="U676" s="130"/>
      <c r="V676" s="130"/>
    </row>
    <row r="677" ht="15.75" customHeight="1">
      <c r="O677" s="130"/>
      <c r="P677" s="130"/>
      <c r="Q677" s="130"/>
      <c r="R677" s="130"/>
      <c r="S677" s="130"/>
      <c r="T677" s="130"/>
      <c r="U677" s="130"/>
      <c r="V677" s="130"/>
    </row>
    <row r="678" ht="15.75" customHeight="1">
      <c r="O678" s="130"/>
      <c r="P678" s="130"/>
      <c r="Q678" s="130"/>
      <c r="R678" s="130"/>
      <c r="S678" s="130"/>
      <c r="T678" s="130"/>
      <c r="U678" s="130"/>
      <c r="V678" s="130"/>
    </row>
    <row r="679" ht="15.75" customHeight="1">
      <c r="O679" s="130"/>
      <c r="P679" s="130"/>
      <c r="Q679" s="130"/>
      <c r="R679" s="130"/>
      <c r="S679" s="130"/>
      <c r="T679" s="130"/>
      <c r="U679" s="130"/>
      <c r="V679" s="130"/>
    </row>
    <row r="680" ht="15.75" customHeight="1">
      <c r="O680" s="130"/>
      <c r="P680" s="130"/>
      <c r="Q680" s="130"/>
      <c r="R680" s="130"/>
      <c r="S680" s="130"/>
      <c r="T680" s="130"/>
      <c r="U680" s="130"/>
      <c r="V680" s="130"/>
    </row>
    <row r="681" ht="15.75" customHeight="1">
      <c r="O681" s="130"/>
      <c r="P681" s="130"/>
      <c r="Q681" s="130"/>
      <c r="R681" s="130"/>
      <c r="S681" s="130"/>
      <c r="T681" s="130"/>
      <c r="U681" s="130"/>
      <c r="V681" s="130"/>
    </row>
    <row r="682" ht="15.75" customHeight="1">
      <c r="O682" s="130"/>
      <c r="P682" s="130"/>
      <c r="Q682" s="130"/>
      <c r="R682" s="130"/>
      <c r="S682" s="130"/>
      <c r="T682" s="130"/>
      <c r="U682" s="130"/>
      <c r="V682" s="130"/>
    </row>
    <row r="683" ht="15.75" customHeight="1">
      <c r="O683" s="130"/>
      <c r="P683" s="130"/>
      <c r="Q683" s="130"/>
      <c r="R683" s="130"/>
      <c r="S683" s="130"/>
      <c r="T683" s="130"/>
      <c r="U683" s="130"/>
      <c r="V683" s="130"/>
    </row>
    <row r="684" ht="15.75" customHeight="1">
      <c r="O684" s="130"/>
      <c r="P684" s="130"/>
      <c r="Q684" s="130"/>
      <c r="R684" s="130"/>
      <c r="S684" s="130"/>
      <c r="T684" s="130"/>
      <c r="U684" s="130"/>
      <c r="V684" s="130"/>
    </row>
    <row r="685" ht="15.75" customHeight="1">
      <c r="O685" s="130"/>
      <c r="P685" s="130"/>
      <c r="Q685" s="130"/>
      <c r="R685" s="130"/>
      <c r="S685" s="130"/>
      <c r="T685" s="130"/>
      <c r="U685" s="130"/>
      <c r="V685" s="130"/>
    </row>
    <row r="686" ht="15.75" customHeight="1">
      <c r="O686" s="130"/>
      <c r="P686" s="130"/>
      <c r="Q686" s="130"/>
      <c r="R686" s="130"/>
      <c r="S686" s="130"/>
      <c r="T686" s="130"/>
      <c r="U686" s="130"/>
      <c r="V686" s="130"/>
    </row>
    <row r="687" ht="15.75" customHeight="1">
      <c r="O687" s="130"/>
      <c r="P687" s="130"/>
      <c r="Q687" s="130"/>
      <c r="R687" s="130"/>
      <c r="S687" s="130"/>
      <c r="T687" s="130"/>
      <c r="U687" s="130"/>
      <c r="V687" s="130"/>
    </row>
    <row r="688" ht="15.75" customHeight="1">
      <c r="O688" s="130"/>
      <c r="P688" s="130"/>
      <c r="Q688" s="130"/>
      <c r="R688" s="130"/>
      <c r="S688" s="130"/>
      <c r="T688" s="130"/>
      <c r="U688" s="130"/>
      <c r="V688" s="130"/>
    </row>
    <row r="689" ht="15.75" customHeight="1">
      <c r="O689" s="130"/>
      <c r="P689" s="130"/>
      <c r="Q689" s="130"/>
      <c r="R689" s="130"/>
      <c r="S689" s="130"/>
      <c r="T689" s="130"/>
      <c r="U689" s="130"/>
      <c r="V689" s="130"/>
    </row>
    <row r="690" ht="15.75" customHeight="1">
      <c r="O690" s="130"/>
      <c r="P690" s="130"/>
      <c r="Q690" s="130"/>
      <c r="R690" s="130"/>
      <c r="S690" s="130"/>
      <c r="T690" s="130"/>
      <c r="U690" s="130"/>
      <c r="V690" s="130"/>
    </row>
    <row r="691" ht="15.75" customHeight="1">
      <c r="O691" s="130"/>
      <c r="P691" s="130"/>
      <c r="Q691" s="130"/>
      <c r="R691" s="130"/>
      <c r="S691" s="130"/>
      <c r="T691" s="130"/>
      <c r="U691" s="130"/>
      <c r="V691" s="130"/>
    </row>
    <row r="692" ht="15.75" customHeight="1">
      <c r="O692" s="130"/>
      <c r="P692" s="130"/>
      <c r="Q692" s="130"/>
      <c r="R692" s="130"/>
      <c r="S692" s="130"/>
      <c r="T692" s="130"/>
      <c r="U692" s="130"/>
      <c r="V692" s="130"/>
    </row>
    <row r="693" ht="15.75" customHeight="1">
      <c r="O693" s="130"/>
      <c r="P693" s="130"/>
      <c r="Q693" s="130"/>
      <c r="R693" s="130"/>
      <c r="S693" s="130"/>
      <c r="T693" s="130"/>
      <c r="U693" s="130"/>
      <c r="V693" s="130"/>
    </row>
    <row r="694" ht="15.75" customHeight="1">
      <c r="O694" s="130"/>
      <c r="P694" s="130"/>
      <c r="Q694" s="130"/>
      <c r="R694" s="130"/>
      <c r="S694" s="130"/>
      <c r="T694" s="130"/>
      <c r="U694" s="130"/>
      <c r="V694" s="130"/>
    </row>
    <row r="695" ht="15.75" customHeight="1">
      <c r="O695" s="130"/>
      <c r="P695" s="130"/>
      <c r="Q695" s="130"/>
      <c r="R695" s="130"/>
      <c r="S695" s="130"/>
      <c r="T695" s="130"/>
      <c r="U695" s="130"/>
      <c r="V695" s="130"/>
    </row>
    <row r="696" ht="15.75" customHeight="1">
      <c r="O696" s="130"/>
      <c r="P696" s="130"/>
      <c r="Q696" s="130"/>
      <c r="R696" s="130"/>
      <c r="S696" s="130"/>
      <c r="T696" s="130"/>
      <c r="U696" s="130"/>
      <c r="V696" s="130"/>
    </row>
    <row r="697" ht="15.75" customHeight="1">
      <c r="O697" s="130"/>
      <c r="P697" s="130"/>
      <c r="Q697" s="130"/>
      <c r="R697" s="130"/>
      <c r="S697" s="130"/>
      <c r="T697" s="130"/>
      <c r="U697" s="130"/>
      <c r="V697" s="130"/>
    </row>
    <row r="698" ht="15.75" customHeight="1">
      <c r="O698" s="130"/>
      <c r="P698" s="130"/>
      <c r="Q698" s="130"/>
      <c r="R698" s="130"/>
      <c r="S698" s="130"/>
      <c r="T698" s="130"/>
      <c r="U698" s="130"/>
      <c r="V698" s="130"/>
    </row>
    <row r="699" ht="15.75" customHeight="1">
      <c r="O699" s="130"/>
      <c r="P699" s="130"/>
      <c r="Q699" s="130"/>
      <c r="R699" s="130"/>
      <c r="S699" s="130"/>
      <c r="T699" s="130"/>
      <c r="U699" s="130"/>
      <c r="V699" s="130"/>
    </row>
    <row r="700" ht="15.75" customHeight="1">
      <c r="O700" s="130"/>
      <c r="P700" s="130"/>
      <c r="Q700" s="130"/>
      <c r="R700" s="130"/>
      <c r="S700" s="130"/>
      <c r="T700" s="130"/>
      <c r="U700" s="130"/>
      <c r="V700" s="130"/>
    </row>
    <row r="701" ht="15.75" customHeight="1">
      <c r="O701" s="130"/>
      <c r="P701" s="130"/>
      <c r="Q701" s="130"/>
      <c r="R701" s="130"/>
      <c r="S701" s="130"/>
      <c r="T701" s="130"/>
      <c r="U701" s="130"/>
      <c r="V701" s="130"/>
    </row>
    <row r="702" ht="15.75" customHeight="1">
      <c r="O702" s="130"/>
      <c r="P702" s="130"/>
      <c r="Q702" s="130"/>
      <c r="R702" s="130"/>
      <c r="S702" s="130"/>
      <c r="T702" s="130"/>
      <c r="U702" s="130"/>
      <c r="V702" s="130"/>
    </row>
    <row r="703" ht="15.75" customHeight="1">
      <c r="O703" s="130"/>
      <c r="P703" s="130"/>
      <c r="Q703" s="130"/>
      <c r="R703" s="130"/>
      <c r="S703" s="130"/>
      <c r="T703" s="130"/>
      <c r="U703" s="130"/>
      <c r="V703" s="130"/>
    </row>
    <row r="704" ht="15.75" customHeight="1">
      <c r="O704" s="130"/>
      <c r="P704" s="130"/>
      <c r="Q704" s="130"/>
      <c r="R704" s="130"/>
      <c r="S704" s="130"/>
      <c r="T704" s="130"/>
      <c r="U704" s="130"/>
      <c r="V704" s="130"/>
    </row>
    <row r="705" ht="15.75" customHeight="1">
      <c r="O705" s="130"/>
      <c r="P705" s="130"/>
      <c r="Q705" s="130"/>
      <c r="R705" s="130"/>
      <c r="S705" s="130"/>
      <c r="T705" s="130"/>
      <c r="U705" s="130"/>
      <c r="V705" s="130"/>
    </row>
    <row r="706" ht="15.75" customHeight="1">
      <c r="O706" s="130"/>
      <c r="P706" s="130"/>
      <c r="Q706" s="130"/>
      <c r="R706" s="130"/>
      <c r="S706" s="130"/>
      <c r="T706" s="130"/>
      <c r="U706" s="130"/>
      <c r="V706" s="130"/>
    </row>
    <row r="707" ht="15.75" customHeight="1">
      <c r="O707" s="130"/>
      <c r="P707" s="130"/>
      <c r="Q707" s="130"/>
      <c r="R707" s="130"/>
      <c r="S707" s="130"/>
      <c r="T707" s="130"/>
      <c r="U707" s="130"/>
      <c r="V707" s="130"/>
    </row>
    <row r="708" ht="15.75" customHeight="1">
      <c r="O708" s="130"/>
      <c r="P708" s="130"/>
      <c r="Q708" s="130"/>
      <c r="R708" s="130"/>
      <c r="S708" s="130"/>
      <c r="T708" s="130"/>
      <c r="U708" s="130"/>
      <c r="V708" s="130"/>
    </row>
    <row r="709" ht="15.75" customHeight="1">
      <c r="O709" s="130"/>
      <c r="P709" s="130"/>
      <c r="Q709" s="130"/>
      <c r="R709" s="130"/>
      <c r="S709" s="130"/>
      <c r="T709" s="130"/>
      <c r="U709" s="130"/>
      <c r="V709" s="130"/>
    </row>
    <row r="710" ht="15.75" customHeight="1">
      <c r="O710" s="130"/>
      <c r="P710" s="130"/>
      <c r="Q710" s="130"/>
      <c r="R710" s="130"/>
      <c r="S710" s="130"/>
      <c r="T710" s="130"/>
      <c r="U710" s="130"/>
      <c r="V710" s="130"/>
    </row>
    <row r="711" ht="15.75" customHeight="1">
      <c r="O711" s="130"/>
      <c r="P711" s="130"/>
      <c r="Q711" s="130"/>
      <c r="R711" s="130"/>
      <c r="S711" s="130"/>
      <c r="T711" s="130"/>
      <c r="U711" s="130"/>
      <c r="V711" s="130"/>
    </row>
    <row r="712" ht="15.75" customHeight="1">
      <c r="O712" s="130"/>
      <c r="P712" s="130"/>
      <c r="Q712" s="130"/>
      <c r="R712" s="130"/>
      <c r="S712" s="130"/>
      <c r="T712" s="130"/>
      <c r="U712" s="130"/>
      <c r="V712" s="130"/>
    </row>
    <row r="713" ht="15.75" customHeight="1">
      <c r="O713" s="130"/>
      <c r="P713" s="130"/>
      <c r="Q713" s="130"/>
      <c r="R713" s="130"/>
      <c r="S713" s="130"/>
      <c r="T713" s="130"/>
      <c r="U713" s="130"/>
      <c r="V713" s="130"/>
    </row>
    <row r="714" ht="15.75" customHeight="1">
      <c r="O714" s="130"/>
      <c r="P714" s="130"/>
      <c r="Q714" s="130"/>
      <c r="R714" s="130"/>
      <c r="S714" s="130"/>
      <c r="T714" s="130"/>
      <c r="U714" s="130"/>
      <c r="V714" s="130"/>
    </row>
    <row r="715" ht="15.75" customHeight="1">
      <c r="O715" s="130"/>
      <c r="P715" s="130"/>
      <c r="Q715" s="130"/>
      <c r="R715" s="130"/>
      <c r="S715" s="130"/>
      <c r="T715" s="130"/>
      <c r="U715" s="130"/>
      <c r="V715" s="130"/>
    </row>
    <row r="716" ht="15.75" customHeight="1">
      <c r="O716" s="130"/>
      <c r="P716" s="130"/>
      <c r="Q716" s="130"/>
      <c r="R716" s="130"/>
      <c r="S716" s="130"/>
      <c r="T716" s="130"/>
      <c r="U716" s="130"/>
      <c r="V716" s="130"/>
    </row>
    <row r="717" ht="15.75" customHeight="1">
      <c r="O717" s="130"/>
      <c r="P717" s="130"/>
      <c r="Q717" s="130"/>
      <c r="R717" s="130"/>
      <c r="S717" s="130"/>
      <c r="T717" s="130"/>
      <c r="U717" s="130"/>
      <c r="V717" s="130"/>
    </row>
    <row r="718" ht="15.75" customHeight="1">
      <c r="O718" s="130"/>
      <c r="P718" s="130"/>
      <c r="Q718" s="130"/>
      <c r="R718" s="130"/>
      <c r="S718" s="130"/>
      <c r="T718" s="130"/>
      <c r="U718" s="130"/>
      <c r="V718" s="130"/>
    </row>
    <row r="719" ht="15.75" customHeight="1">
      <c r="O719" s="130"/>
      <c r="P719" s="130"/>
      <c r="Q719" s="130"/>
      <c r="R719" s="130"/>
      <c r="S719" s="130"/>
      <c r="T719" s="130"/>
      <c r="U719" s="130"/>
      <c r="V719" s="130"/>
    </row>
    <row r="720" ht="15.75" customHeight="1">
      <c r="O720" s="130"/>
      <c r="P720" s="130"/>
      <c r="Q720" s="130"/>
      <c r="R720" s="130"/>
      <c r="S720" s="130"/>
      <c r="T720" s="130"/>
      <c r="U720" s="130"/>
      <c r="V720" s="130"/>
    </row>
    <row r="721" ht="15.75" customHeight="1">
      <c r="O721" s="130"/>
      <c r="P721" s="130"/>
      <c r="Q721" s="130"/>
      <c r="R721" s="130"/>
      <c r="S721" s="130"/>
      <c r="T721" s="130"/>
      <c r="U721" s="130"/>
      <c r="V721" s="130"/>
    </row>
    <row r="722" ht="15.75" customHeight="1">
      <c r="O722" s="130"/>
      <c r="P722" s="130"/>
      <c r="Q722" s="130"/>
      <c r="R722" s="130"/>
      <c r="S722" s="130"/>
      <c r="T722" s="130"/>
      <c r="U722" s="130"/>
      <c r="V722" s="130"/>
    </row>
    <row r="723" ht="15.75" customHeight="1">
      <c r="O723" s="130"/>
      <c r="P723" s="130"/>
      <c r="Q723" s="130"/>
      <c r="R723" s="130"/>
      <c r="S723" s="130"/>
      <c r="T723" s="130"/>
      <c r="U723" s="130"/>
      <c r="V723" s="130"/>
    </row>
    <row r="724" ht="15.75" customHeight="1">
      <c r="O724" s="130"/>
      <c r="P724" s="130"/>
      <c r="Q724" s="130"/>
      <c r="R724" s="130"/>
      <c r="S724" s="130"/>
      <c r="T724" s="130"/>
      <c r="U724" s="130"/>
      <c r="V724" s="130"/>
    </row>
    <row r="725" ht="15.75" customHeight="1">
      <c r="O725" s="130"/>
      <c r="P725" s="130"/>
      <c r="Q725" s="130"/>
      <c r="R725" s="130"/>
      <c r="S725" s="130"/>
      <c r="T725" s="130"/>
      <c r="U725" s="130"/>
      <c r="V725" s="130"/>
    </row>
    <row r="726" ht="15.75" customHeight="1">
      <c r="O726" s="130"/>
      <c r="P726" s="130"/>
      <c r="Q726" s="130"/>
      <c r="R726" s="130"/>
      <c r="S726" s="130"/>
      <c r="T726" s="130"/>
      <c r="U726" s="130"/>
      <c r="V726" s="130"/>
    </row>
    <row r="727" ht="15.75" customHeight="1">
      <c r="O727" s="130"/>
      <c r="P727" s="130"/>
      <c r="Q727" s="130"/>
      <c r="R727" s="130"/>
      <c r="S727" s="130"/>
      <c r="T727" s="130"/>
      <c r="U727" s="130"/>
      <c r="V727" s="130"/>
    </row>
    <row r="728" ht="15.75" customHeight="1">
      <c r="O728" s="130"/>
      <c r="P728" s="130"/>
      <c r="Q728" s="130"/>
      <c r="R728" s="130"/>
      <c r="S728" s="130"/>
      <c r="T728" s="130"/>
      <c r="U728" s="130"/>
      <c r="V728" s="130"/>
    </row>
    <row r="729" ht="15.75" customHeight="1">
      <c r="O729" s="130"/>
      <c r="P729" s="130"/>
      <c r="Q729" s="130"/>
      <c r="R729" s="130"/>
      <c r="S729" s="130"/>
      <c r="T729" s="130"/>
      <c r="U729" s="130"/>
      <c r="V729" s="130"/>
    </row>
    <row r="730" ht="15.75" customHeight="1">
      <c r="O730" s="130"/>
      <c r="P730" s="130"/>
      <c r="Q730" s="130"/>
      <c r="R730" s="130"/>
      <c r="S730" s="130"/>
      <c r="T730" s="130"/>
      <c r="U730" s="130"/>
      <c r="V730" s="130"/>
    </row>
    <row r="731" ht="15.75" customHeight="1">
      <c r="O731" s="130"/>
      <c r="P731" s="130"/>
      <c r="Q731" s="130"/>
      <c r="R731" s="130"/>
      <c r="S731" s="130"/>
      <c r="T731" s="130"/>
      <c r="U731" s="130"/>
      <c r="V731" s="130"/>
    </row>
    <row r="732" ht="15.75" customHeight="1">
      <c r="O732" s="130"/>
      <c r="P732" s="130"/>
      <c r="Q732" s="130"/>
      <c r="R732" s="130"/>
      <c r="S732" s="130"/>
      <c r="T732" s="130"/>
      <c r="U732" s="130"/>
      <c r="V732" s="130"/>
    </row>
    <row r="733" ht="15.75" customHeight="1">
      <c r="O733" s="130"/>
      <c r="P733" s="130"/>
      <c r="Q733" s="130"/>
      <c r="R733" s="130"/>
      <c r="S733" s="130"/>
      <c r="T733" s="130"/>
      <c r="U733" s="130"/>
      <c r="V733" s="130"/>
    </row>
    <row r="734" ht="15.75" customHeight="1">
      <c r="O734" s="130"/>
      <c r="P734" s="130"/>
      <c r="Q734" s="130"/>
      <c r="R734" s="130"/>
      <c r="S734" s="130"/>
      <c r="T734" s="130"/>
      <c r="U734" s="130"/>
      <c r="V734" s="130"/>
    </row>
    <row r="735" ht="15.75" customHeight="1">
      <c r="O735" s="130"/>
      <c r="P735" s="130"/>
      <c r="Q735" s="130"/>
      <c r="R735" s="130"/>
      <c r="S735" s="130"/>
      <c r="T735" s="130"/>
      <c r="U735" s="130"/>
      <c r="V735" s="130"/>
    </row>
    <row r="736" ht="15.75" customHeight="1">
      <c r="O736" s="130"/>
      <c r="P736" s="130"/>
      <c r="Q736" s="130"/>
      <c r="R736" s="130"/>
      <c r="S736" s="130"/>
      <c r="T736" s="130"/>
      <c r="U736" s="130"/>
      <c r="V736" s="130"/>
    </row>
    <row r="737" ht="15.75" customHeight="1">
      <c r="O737" s="130"/>
      <c r="P737" s="130"/>
      <c r="Q737" s="130"/>
      <c r="R737" s="130"/>
      <c r="S737" s="130"/>
      <c r="T737" s="130"/>
      <c r="U737" s="130"/>
      <c r="V737" s="130"/>
    </row>
    <row r="738" ht="15.75" customHeight="1">
      <c r="O738" s="130"/>
      <c r="P738" s="130"/>
      <c r="Q738" s="130"/>
      <c r="R738" s="130"/>
      <c r="S738" s="130"/>
      <c r="T738" s="130"/>
      <c r="U738" s="130"/>
      <c r="V738" s="130"/>
    </row>
    <row r="739" ht="15.75" customHeight="1">
      <c r="O739" s="130"/>
      <c r="P739" s="130"/>
      <c r="Q739" s="130"/>
      <c r="R739" s="130"/>
      <c r="S739" s="130"/>
      <c r="T739" s="130"/>
      <c r="U739" s="130"/>
      <c r="V739" s="130"/>
    </row>
    <row r="740" ht="15.75" customHeight="1">
      <c r="O740" s="130"/>
      <c r="P740" s="130"/>
      <c r="Q740" s="130"/>
      <c r="R740" s="130"/>
      <c r="S740" s="130"/>
      <c r="T740" s="130"/>
      <c r="U740" s="130"/>
      <c r="V740" s="130"/>
    </row>
    <row r="741" ht="15.75" customHeight="1">
      <c r="O741" s="130"/>
      <c r="P741" s="130"/>
      <c r="Q741" s="130"/>
      <c r="R741" s="130"/>
      <c r="S741" s="130"/>
      <c r="T741" s="130"/>
      <c r="U741" s="130"/>
      <c r="V741" s="130"/>
    </row>
    <row r="742" ht="15.75" customHeight="1">
      <c r="O742" s="130"/>
      <c r="P742" s="130"/>
      <c r="Q742" s="130"/>
      <c r="R742" s="130"/>
      <c r="S742" s="130"/>
      <c r="T742" s="130"/>
      <c r="U742" s="130"/>
      <c r="V742" s="130"/>
    </row>
    <row r="743" ht="15.75" customHeight="1">
      <c r="O743" s="130"/>
      <c r="P743" s="130"/>
      <c r="Q743" s="130"/>
      <c r="R743" s="130"/>
      <c r="S743" s="130"/>
      <c r="T743" s="130"/>
      <c r="U743" s="130"/>
      <c r="V743" s="130"/>
    </row>
    <row r="744" ht="15.75" customHeight="1">
      <c r="O744" s="130"/>
      <c r="P744" s="130"/>
      <c r="Q744" s="130"/>
      <c r="R744" s="130"/>
      <c r="S744" s="130"/>
      <c r="T744" s="130"/>
      <c r="U744" s="130"/>
      <c r="V744" s="130"/>
    </row>
    <row r="745" ht="15.75" customHeight="1">
      <c r="O745" s="130"/>
      <c r="P745" s="130"/>
      <c r="Q745" s="130"/>
      <c r="R745" s="130"/>
      <c r="S745" s="130"/>
      <c r="T745" s="130"/>
      <c r="U745" s="130"/>
      <c r="V745" s="130"/>
    </row>
    <row r="746" ht="15.75" customHeight="1">
      <c r="O746" s="130"/>
      <c r="P746" s="130"/>
      <c r="Q746" s="130"/>
      <c r="R746" s="130"/>
      <c r="S746" s="130"/>
      <c r="T746" s="130"/>
      <c r="U746" s="130"/>
      <c r="V746" s="130"/>
    </row>
    <row r="747" ht="15.75" customHeight="1">
      <c r="O747" s="130"/>
      <c r="P747" s="130"/>
      <c r="Q747" s="130"/>
      <c r="R747" s="130"/>
      <c r="S747" s="130"/>
      <c r="T747" s="130"/>
      <c r="U747" s="130"/>
      <c r="V747" s="130"/>
    </row>
    <row r="748" ht="15.75" customHeight="1">
      <c r="O748" s="130"/>
      <c r="P748" s="130"/>
      <c r="Q748" s="130"/>
      <c r="R748" s="130"/>
      <c r="S748" s="130"/>
      <c r="T748" s="130"/>
      <c r="U748" s="130"/>
      <c r="V748" s="130"/>
    </row>
    <row r="749" ht="15.75" customHeight="1">
      <c r="O749" s="130"/>
      <c r="P749" s="130"/>
      <c r="Q749" s="130"/>
      <c r="R749" s="130"/>
      <c r="S749" s="130"/>
      <c r="T749" s="130"/>
      <c r="U749" s="130"/>
      <c r="V749" s="130"/>
    </row>
    <row r="750" ht="15.75" customHeight="1">
      <c r="O750" s="130"/>
      <c r="P750" s="130"/>
      <c r="Q750" s="130"/>
      <c r="R750" s="130"/>
      <c r="S750" s="130"/>
      <c r="T750" s="130"/>
      <c r="U750" s="130"/>
      <c r="V750" s="130"/>
    </row>
    <row r="751" ht="15.75" customHeight="1">
      <c r="O751" s="130"/>
      <c r="P751" s="130"/>
      <c r="Q751" s="130"/>
      <c r="R751" s="130"/>
      <c r="S751" s="130"/>
      <c r="T751" s="130"/>
      <c r="U751" s="130"/>
      <c r="V751" s="130"/>
    </row>
    <row r="752" ht="15.75" customHeight="1">
      <c r="O752" s="130"/>
      <c r="P752" s="130"/>
      <c r="Q752" s="130"/>
      <c r="R752" s="130"/>
      <c r="S752" s="130"/>
      <c r="T752" s="130"/>
      <c r="U752" s="130"/>
      <c r="V752" s="130"/>
    </row>
    <row r="753" ht="15.75" customHeight="1">
      <c r="O753" s="130"/>
      <c r="P753" s="130"/>
      <c r="Q753" s="130"/>
      <c r="R753" s="130"/>
      <c r="S753" s="130"/>
      <c r="T753" s="130"/>
      <c r="U753" s="130"/>
      <c r="V753" s="130"/>
    </row>
    <row r="754" ht="15.75" customHeight="1">
      <c r="O754" s="130"/>
      <c r="P754" s="130"/>
      <c r="Q754" s="130"/>
      <c r="R754" s="130"/>
      <c r="S754" s="130"/>
      <c r="T754" s="130"/>
      <c r="U754" s="130"/>
      <c r="V754" s="130"/>
    </row>
    <row r="755" ht="15.75" customHeight="1">
      <c r="O755" s="130"/>
      <c r="P755" s="130"/>
      <c r="Q755" s="130"/>
      <c r="R755" s="130"/>
      <c r="S755" s="130"/>
      <c r="T755" s="130"/>
      <c r="U755" s="130"/>
      <c r="V755" s="130"/>
    </row>
    <row r="756" ht="15.75" customHeight="1">
      <c r="O756" s="130"/>
      <c r="P756" s="130"/>
      <c r="Q756" s="130"/>
      <c r="R756" s="130"/>
      <c r="S756" s="130"/>
      <c r="T756" s="130"/>
      <c r="U756" s="130"/>
      <c r="V756" s="130"/>
    </row>
    <row r="757" ht="15.75" customHeight="1">
      <c r="O757" s="130"/>
      <c r="P757" s="130"/>
      <c r="Q757" s="130"/>
      <c r="R757" s="130"/>
      <c r="S757" s="130"/>
      <c r="T757" s="130"/>
      <c r="U757" s="130"/>
      <c r="V757" s="130"/>
    </row>
    <row r="758" ht="15.75" customHeight="1">
      <c r="O758" s="130"/>
      <c r="P758" s="130"/>
      <c r="Q758" s="130"/>
      <c r="R758" s="130"/>
      <c r="S758" s="130"/>
      <c r="T758" s="130"/>
      <c r="U758" s="130"/>
      <c r="V758" s="130"/>
    </row>
    <row r="759" ht="15.75" customHeight="1">
      <c r="O759" s="130"/>
      <c r="P759" s="130"/>
      <c r="Q759" s="130"/>
      <c r="R759" s="130"/>
      <c r="S759" s="130"/>
      <c r="T759" s="130"/>
      <c r="U759" s="130"/>
      <c r="V759" s="130"/>
    </row>
    <row r="760" ht="15.75" customHeight="1">
      <c r="O760" s="130"/>
      <c r="P760" s="130"/>
      <c r="Q760" s="130"/>
      <c r="R760" s="130"/>
      <c r="S760" s="130"/>
      <c r="T760" s="130"/>
      <c r="U760" s="130"/>
      <c r="V760" s="130"/>
    </row>
    <row r="761" ht="15.75" customHeight="1">
      <c r="O761" s="130"/>
      <c r="P761" s="130"/>
      <c r="Q761" s="130"/>
      <c r="R761" s="130"/>
      <c r="S761" s="130"/>
      <c r="T761" s="130"/>
      <c r="U761" s="130"/>
      <c r="V761" s="130"/>
    </row>
    <row r="762" ht="15.75" customHeight="1">
      <c r="O762" s="130"/>
      <c r="P762" s="130"/>
      <c r="Q762" s="130"/>
      <c r="R762" s="130"/>
      <c r="S762" s="130"/>
      <c r="T762" s="130"/>
      <c r="U762" s="130"/>
      <c r="V762" s="130"/>
    </row>
    <row r="763" ht="15.75" customHeight="1">
      <c r="O763" s="130"/>
      <c r="P763" s="130"/>
      <c r="Q763" s="130"/>
      <c r="R763" s="130"/>
      <c r="S763" s="130"/>
      <c r="T763" s="130"/>
      <c r="U763" s="130"/>
      <c r="V763" s="130"/>
    </row>
    <row r="764" ht="15.75" customHeight="1">
      <c r="O764" s="130"/>
      <c r="P764" s="130"/>
      <c r="Q764" s="130"/>
      <c r="R764" s="130"/>
      <c r="S764" s="130"/>
      <c r="T764" s="130"/>
      <c r="U764" s="130"/>
      <c r="V764" s="130"/>
    </row>
    <row r="765" ht="15.75" customHeight="1">
      <c r="O765" s="130"/>
      <c r="P765" s="130"/>
      <c r="Q765" s="130"/>
      <c r="R765" s="130"/>
      <c r="S765" s="130"/>
      <c r="T765" s="130"/>
      <c r="U765" s="130"/>
      <c r="V765" s="130"/>
    </row>
    <row r="766" ht="15.75" customHeight="1">
      <c r="O766" s="130"/>
      <c r="P766" s="130"/>
      <c r="Q766" s="130"/>
      <c r="R766" s="130"/>
      <c r="S766" s="130"/>
      <c r="T766" s="130"/>
      <c r="U766" s="130"/>
      <c r="V766" s="130"/>
    </row>
    <row r="767" ht="15.75" customHeight="1">
      <c r="O767" s="130"/>
      <c r="P767" s="130"/>
      <c r="Q767" s="130"/>
      <c r="R767" s="130"/>
      <c r="S767" s="130"/>
      <c r="T767" s="130"/>
      <c r="U767" s="130"/>
      <c r="V767" s="130"/>
    </row>
    <row r="768" ht="15.75" customHeight="1">
      <c r="O768" s="130"/>
      <c r="P768" s="130"/>
      <c r="Q768" s="130"/>
      <c r="R768" s="130"/>
      <c r="S768" s="130"/>
      <c r="T768" s="130"/>
      <c r="U768" s="130"/>
      <c r="V768" s="130"/>
    </row>
    <row r="769" ht="15.75" customHeight="1">
      <c r="O769" s="130"/>
      <c r="P769" s="130"/>
      <c r="Q769" s="130"/>
      <c r="R769" s="130"/>
      <c r="S769" s="130"/>
      <c r="T769" s="130"/>
      <c r="U769" s="130"/>
      <c r="V769" s="130"/>
    </row>
    <row r="770" ht="15.75" customHeight="1">
      <c r="O770" s="130"/>
      <c r="P770" s="130"/>
      <c r="Q770" s="130"/>
      <c r="R770" s="130"/>
      <c r="S770" s="130"/>
      <c r="T770" s="130"/>
      <c r="U770" s="130"/>
      <c r="V770" s="130"/>
    </row>
    <row r="771" ht="15.75" customHeight="1">
      <c r="O771" s="130"/>
      <c r="P771" s="130"/>
      <c r="Q771" s="130"/>
      <c r="R771" s="130"/>
      <c r="S771" s="130"/>
      <c r="T771" s="130"/>
      <c r="U771" s="130"/>
      <c r="V771" s="130"/>
    </row>
    <row r="772" ht="15.75" customHeight="1">
      <c r="O772" s="130"/>
      <c r="P772" s="130"/>
      <c r="Q772" s="130"/>
      <c r="R772" s="130"/>
      <c r="S772" s="130"/>
      <c r="T772" s="130"/>
      <c r="U772" s="130"/>
      <c r="V772" s="130"/>
    </row>
    <row r="773" ht="15.75" customHeight="1">
      <c r="O773" s="130"/>
      <c r="P773" s="130"/>
      <c r="Q773" s="130"/>
      <c r="R773" s="130"/>
      <c r="S773" s="130"/>
      <c r="T773" s="130"/>
      <c r="U773" s="130"/>
      <c r="V773" s="130"/>
    </row>
    <row r="774" ht="15.75" customHeight="1">
      <c r="O774" s="130"/>
      <c r="P774" s="130"/>
      <c r="Q774" s="130"/>
      <c r="R774" s="130"/>
      <c r="S774" s="130"/>
      <c r="T774" s="130"/>
      <c r="U774" s="130"/>
      <c r="V774" s="130"/>
    </row>
    <row r="775" ht="15.75" customHeight="1">
      <c r="O775" s="130"/>
      <c r="P775" s="130"/>
      <c r="Q775" s="130"/>
      <c r="R775" s="130"/>
      <c r="S775" s="130"/>
      <c r="T775" s="130"/>
      <c r="U775" s="130"/>
      <c r="V775" s="130"/>
    </row>
    <row r="776" ht="15.75" customHeight="1">
      <c r="O776" s="130"/>
      <c r="P776" s="130"/>
      <c r="Q776" s="130"/>
      <c r="R776" s="130"/>
      <c r="S776" s="130"/>
      <c r="T776" s="130"/>
      <c r="U776" s="130"/>
      <c r="V776" s="130"/>
    </row>
    <row r="777" ht="15.75" customHeight="1">
      <c r="O777" s="130"/>
      <c r="P777" s="130"/>
      <c r="Q777" s="130"/>
      <c r="R777" s="130"/>
      <c r="S777" s="130"/>
      <c r="T777" s="130"/>
      <c r="U777" s="130"/>
      <c r="V777" s="130"/>
    </row>
    <row r="778" ht="15.75" customHeight="1">
      <c r="O778" s="130"/>
      <c r="P778" s="130"/>
      <c r="Q778" s="130"/>
      <c r="R778" s="130"/>
      <c r="S778" s="130"/>
      <c r="T778" s="130"/>
      <c r="U778" s="130"/>
      <c r="V778" s="130"/>
    </row>
    <row r="779" ht="15.75" customHeight="1">
      <c r="O779" s="130"/>
      <c r="P779" s="130"/>
      <c r="Q779" s="130"/>
      <c r="R779" s="130"/>
      <c r="S779" s="130"/>
      <c r="T779" s="130"/>
      <c r="U779" s="130"/>
      <c r="V779" s="130"/>
    </row>
    <row r="780" ht="15.75" customHeight="1">
      <c r="O780" s="130"/>
      <c r="P780" s="130"/>
      <c r="Q780" s="130"/>
      <c r="R780" s="130"/>
      <c r="S780" s="130"/>
      <c r="T780" s="130"/>
      <c r="U780" s="130"/>
      <c r="V780" s="130"/>
    </row>
    <row r="781" ht="15.75" customHeight="1">
      <c r="O781" s="130"/>
      <c r="P781" s="130"/>
      <c r="Q781" s="130"/>
      <c r="R781" s="130"/>
      <c r="S781" s="130"/>
      <c r="T781" s="130"/>
      <c r="U781" s="130"/>
      <c r="V781" s="130"/>
    </row>
    <row r="782" ht="15.75" customHeight="1">
      <c r="O782" s="130"/>
      <c r="P782" s="130"/>
      <c r="Q782" s="130"/>
      <c r="R782" s="130"/>
      <c r="S782" s="130"/>
      <c r="T782" s="130"/>
      <c r="U782" s="130"/>
      <c r="V782" s="130"/>
    </row>
    <row r="783" ht="15.75" customHeight="1">
      <c r="O783" s="130"/>
      <c r="P783" s="130"/>
      <c r="Q783" s="130"/>
      <c r="R783" s="130"/>
      <c r="S783" s="130"/>
      <c r="T783" s="130"/>
      <c r="U783" s="130"/>
      <c r="V783" s="130"/>
    </row>
    <row r="784" ht="15.75" customHeight="1">
      <c r="O784" s="130"/>
      <c r="P784" s="130"/>
      <c r="Q784" s="130"/>
      <c r="R784" s="130"/>
      <c r="S784" s="130"/>
      <c r="T784" s="130"/>
      <c r="U784" s="130"/>
      <c r="V784" s="130"/>
    </row>
    <row r="785" ht="15.75" customHeight="1">
      <c r="O785" s="130"/>
      <c r="P785" s="130"/>
      <c r="Q785" s="130"/>
      <c r="R785" s="130"/>
      <c r="S785" s="130"/>
      <c r="T785" s="130"/>
      <c r="U785" s="130"/>
      <c r="V785" s="130"/>
    </row>
    <row r="786" ht="15.75" customHeight="1">
      <c r="O786" s="130"/>
      <c r="P786" s="130"/>
      <c r="Q786" s="130"/>
      <c r="R786" s="130"/>
      <c r="S786" s="130"/>
      <c r="T786" s="130"/>
      <c r="U786" s="130"/>
      <c r="V786" s="130"/>
    </row>
    <row r="787" ht="15.75" customHeight="1">
      <c r="O787" s="130"/>
      <c r="P787" s="130"/>
      <c r="Q787" s="130"/>
      <c r="R787" s="130"/>
      <c r="S787" s="130"/>
      <c r="T787" s="130"/>
      <c r="U787" s="130"/>
      <c r="V787" s="130"/>
    </row>
    <row r="788" ht="15.75" customHeight="1">
      <c r="O788" s="130"/>
      <c r="P788" s="130"/>
      <c r="Q788" s="130"/>
      <c r="R788" s="130"/>
      <c r="S788" s="130"/>
      <c r="T788" s="130"/>
      <c r="U788" s="130"/>
      <c r="V788" s="130"/>
    </row>
    <row r="789" ht="15.75" customHeight="1">
      <c r="O789" s="130"/>
      <c r="P789" s="130"/>
      <c r="Q789" s="130"/>
      <c r="R789" s="130"/>
      <c r="S789" s="130"/>
      <c r="T789" s="130"/>
      <c r="U789" s="130"/>
      <c r="V789" s="130"/>
    </row>
    <row r="790" ht="15.75" customHeight="1">
      <c r="O790" s="130"/>
      <c r="P790" s="130"/>
      <c r="Q790" s="130"/>
      <c r="R790" s="130"/>
      <c r="S790" s="130"/>
      <c r="T790" s="130"/>
      <c r="U790" s="130"/>
      <c r="V790" s="130"/>
    </row>
    <row r="791" ht="15.75" customHeight="1">
      <c r="O791" s="130"/>
      <c r="P791" s="130"/>
      <c r="Q791" s="130"/>
      <c r="R791" s="130"/>
      <c r="S791" s="130"/>
      <c r="T791" s="130"/>
      <c r="U791" s="130"/>
      <c r="V791" s="130"/>
    </row>
    <row r="792" ht="15.75" customHeight="1">
      <c r="O792" s="130"/>
      <c r="P792" s="130"/>
      <c r="Q792" s="130"/>
      <c r="R792" s="130"/>
      <c r="S792" s="130"/>
      <c r="T792" s="130"/>
      <c r="U792" s="130"/>
      <c r="V792" s="130"/>
    </row>
    <row r="793" ht="15.75" customHeight="1">
      <c r="O793" s="130"/>
      <c r="P793" s="130"/>
      <c r="Q793" s="130"/>
      <c r="R793" s="130"/>
      <c r="S793" s="130"/>
      <c r="T793" s="130"/>
      <c r="U793" s="130"/>
      <c r="V793" s="130"/>
    </row>
    <row r="794" ht="15.75" customHeight="1">
      <c r="O794" s="130"/>
      <c r="P794" s="130"/>
      <c r="Q794" s="130"/>
      <c r="R794" s="130"/>
      <c r="S794" s="130"/>
      <c r="T794" s="130"/>
      <c r="U794" s="130"/>
      <c r="V794" s="130"/>
    </row>
    <row r="795" ht="15.75" customHeight="1">
      <c r="O795" s="130"/>
      <c r="P795" s="130"/>
      <c r="Q795" s="130"/>
      <c r="R795" s="130"/>
      <c r="S795" s="130"/>
      <c r="T795" s="130"/>
      <c r="U795" s="130"/>
      <c r="V795" s="130"/>
    </row>
    <row r="796" ht="15.75" customHeight="1">
      <c r="O796" s="130"/>
      <c r="P796" s="130"/>
      <c r="Q796" s="130"/>
      <c r="R796" s="130"/>
      <c r="S796" s="130"/>
      <c r="T796" s="130"/>
      <c r="U796" s="130"/>
      <c r="V796" s="130"/>
    </row>
    <row r="797" ht="15.75" customHeight="1">
      <c r="O797" s="130"/>
      <c r="P797" s="130"/>
      <c r="Q797" s="130"/>
      <c r="R797" s="130"/>
      <c r="S797" s="130"/>
      <c r="T797" s="130"/>
      <c r="U797" s="130"/>
      <c r="V797" s="130"/>
    </row>
    <row r="798" ht="15.75" customHeight="1">
      <c r="O798" s="130"/>
      <c r="P798" s="130"/>
      <c r="Q798" s="130"/>
      <c r="R798" s="130"/>
      <c r="S798" s="130"/>
      <c r="T798" s="130"/>
      <c r="U798" s="130"/>
      <c r="V798" s="130"/>
    </row>
    <row r="799" ht="15.75" customHeight="1">
      <c r="O799" s="130"/>
      <c r="P799" s="130"/>
      <c r="Q799" s="130"/>
      <c r="R799" s="130"/>
      <c r="S799" s="130"/>
      <c r="T799" s="130"/>
      <c r="U799" s="130"/>
      <c r="V799" s="130"/>
    </row>
    <row r="800" ht="15.75" customHeight="1">
      <c r="O800" s="130"/>
      <c r="P800" s="130"/>
      <c r="Q800" s="130"/>
      <c r="R800" s="130"/>
      <c r="S800" s="130"/>
      <c r="T800" s="130"/>
      <c r="U800" s="130"/>
      <c r="V800" s="130"/>
    </row>
    <row r="801" ht="15.75" customHeight="1">
      <c r="O801" s="130"/>
      <c r="P801" s="130"/>
      <c r="Q801" s="130"/>
      <c r="R801" s="130"/>
      <c r="S801" s="130"/>
      <c r="T801" s="130"/>
      <c r="U801" s="130"/>
      <c r="V801" s="130"/>
    </row>
    <row r="802" ht="15.75" customHeight="1">
      <c r="O802" s="130"/>
      <c r="P802" s="130"/>
      <c r="Q802" s="130"/>
      <c r="R802" s="130"/>
      <c r="S802" s="130"/>
      <c r="T802" s="130"/>
      <c r="U802" s="130"/>
      <c r="V802" s="130"/>
    </row>
    <row r="803" ht="15.75" customHeight="1">
      <c r="O803" s="130"/>
      <c r="P803" s="130"/>
      <c r="Q803" s="130"/>
      <c r="R803" s="130"/>
      <c r="S803" s="130"/>
      <c r="T803" s="130"/>
      <c r="U803" s="130"/>
      <c r="V803" s="130"/>
    </row>
    <row r="804" ht="15.75" customHeight="1">
      <c r="O804" s="130"/>
      <c r="P804" s="130"/>
      <c r="Q804" s="130"/>
      <c r="R804" s="130"/>
      <c r="S804" s="130"/>
      <c r="T804" s="130"/>
      <c r="U804" s="130"/>
      <c r="V804" s="130"/>
    </row>
    <row r="805" ht="15.75" customHeight="1">
      <c r="O805" s="130"/>
      <c r="P805" s="130"/>
      <c r="Q805" s="130"/>
      <c r="R805" s="130"/>
      <c r="S805" s="130"/>
      <c r="T805" s="130"/>
      <c r="U805" s="130"/>
      <c r="V805" s="130"/>
    </row>
    <row r="806" ht="15.75" customHeight="1">
      <c r="O806" s="130"/>
      <c r="P806" s="130"/>
      <c r="Q806" s="130"/>
      <c r="R806" s="130"/>
      <c r="S806" s="130"/>
      <c r="T806" s="130"/>
      <c r="U806" s="130"/>
      <c r="V806" s="130"/>
    </row>
    <row r="807" ht="15.75" customHeight="1">
      <c r="O807" s="130"/>
      <c r="P807" s="130"/>
      <c r="Q807" s="130"/>
      <c r="R807" s="130"/>
      <c r="S807" s="130"/>
      <c r="T807" s="130"/>
      <c r="U807" s="130"/>
      <c r="V807" s="130"/>
    </row>
    <row r="808" ht="15.75" customHeight="1">
      <c r="O808" s="130"/>
      <c r="P808" s="130"/>
      <c r="Q808" s="130"/>
      <c r="R808" s="130"/>
      <c r="S808" s="130"/>
      <c r="T808" s="130"/>
      <c r="U808" s="130"/>
      <c r="V808" s="130"/>
    </row>
    <row r="809" ht="15.75" customHeight="1">
      <c r="O809" s="130"/>
      <c r="P809" s="130"/>
      <c r="Q809" s="130"/>
      <c r="R809" s="130"/>
      <c r="S809" s="130"/>
      <c r="T809" s="130"/>
      <c r="U809" s="130"/>
      <c r="V809" s="130"/>
    </row>
    <row r="810" ht="15.75" customHeight="1">
      <c r="O810" s="130"/>
      <c r="P810" s="130"/>
      <c r="Q810" s="130"/>
      <c r="R810" s="130"/>
      <c r="S810" s="130"/>
      <c r="T810" s="130"/>
      <c r="U810" s="130"/>
      <c r="V810" s="130"/>
    </row>
    <row r="811" ht="15.75" customHeight="1">
      <c r="O811" s="130"/>
      <c r="P811" s="130"/>
      <c r="Q811" s="130"/>
      <c r="R811" s="130"/>
      <c r="S811" s="130"/>
      <c r="T811" s="130"/>
      <c r="U811" s="130"/>
      <c r="V811" s="130"/>
    </row>
    <row r="812" ht="15.75" customHeight="1">
      <c r="O812" s="130"/>
      <c r="P812" s="130"/>
      <c r="Q812" s="130"/>
      <c r="R812" s="130"/>
      <c r="S812" s="130"/>
      <c r="T812" s="130"/>
      <c r="U812" s="130"/>
      <c r="V812" s="130"/>
    </row>
    <row r="813" ht="15.75" customHeight="1">
      <c r="O813" s="130"/>
      <c r="P813" s="130"/>
      <c r="Q813" s="130"/>
      <c r="R813" s="130"/>
      <c r="S813" s="130"/>
      <c r="T813" s="130"/>
      <c r="U813" s="130"/>
      <c r="V813" s="130"/>
    </row>
    <row r="814" ht="15.75" customHeight="1">
      <c r="O814" s="130"/>
      <c r="P814" s="130"/>
      <c r="Q814" s="130"/>
      <c r="R814" s="130"/>
      <c r="S814" s="130"/>
      <c r="T814" s="130"/>
      <c r="U814" s="130"/>
      <c r="V814" s="130"/>
    </row>
    <row r="815" ht="15.75" customHeight="1">
      <c r="O815" s="130"/>
      <c r="P815" s="130"/>
      <c r="Q815" s="130"/>
      <c r="R815" s="130"/>
      <c r="S815" s="130"/>
      <c r="T815" s="130"/>
      <c r="U815" s="130"/>
      <c r="V815" s="130"/>
    </row>
    <row r="816" ht="15.75" customHeight="1">
      <c r="O816" s="130"/>
      <c r="P816" s="130"/>
      <c r="Q816" s="130"/>
      <c r="R816" s="130"/>
      <c r="S816" s="130"/>
      <c r="T816" s="130"/>
      <c r="U816" s="130"/>
      <c r="V816" s="130"/>
    </row>
    <row r="817" ht="15.75" customHeight="1">
      <c r="O817" s="130"/>
      <c r="P817" s="130"/>
      <c r="Q817" s="130"/>
      <c r="R817" s="130"/>
      <c r="S817" s="130"/>
      <c r="T817" s="130"/>
      <c r="U817" s="130"/>
      <c r="V817" s="130"/>
    </row>
    <row r="818" ht="15.75" customHeight="1">
      <c r="O818" s="130"/>
      <c r="P818" s="130"/>
      <c r="Q818" s="130"/>
      <c r="R818" s="130"/>
      <c r="S818" s="130"/>
      <c r="T818" s="130"/>
      <c r="U818" s="130"/>
      <c r="V818" s="130"/>
    </row>
    <row r="819" ht="15.75" customHeight="1">
      <c r="O819" s="130"/>
      <c r="P819" s="130"/>
      <c r="Q819" s="130"/>
      <c r="R819" s="130"/>
      <c r="S819" s="130"/>
      <c r="T819" s="130"/>
      <c r="U819" s="130"/>
      <c r="V819" s="130"/>
    </row>
    <row r="820" ht="15.75" customHeight="1">
      <c r="O820" s="130"/>
      <c r="P820" s="130"/>
      <c r="Q820" s="130"/>
      <c r="R820" s="130"/>
      <c r="S820" s="130"/>
      <c r="T820" s="130"/>
      <c r="U820" s="130"/>
      <c r="V820" s="130"/>
    </row>
    <row r="821" ht="15.75" customHeight="1">
      <c r="O821" s="130"/>
      <c r="P821" s="130"/>
      <c r="Q821" s="130"/>
      <c r="R821" s="130"/>
      <c r="S821" s="130"/>
      <c r="T821" s="130"/>
      <c r="U821" s="130"/>
      <c r="V821" s="130"/>
    </row>
    <row r="822" ht="15.75" customHeight="1">
      <c r="O822" s="130"/>
      <c r="P822" s="130"/>
      <c r="Q822" s="130"/>
      <c r="R822" s="130"/>
      <c r="S822" s="130"/>
      <c r="T822" s="130"/>
      <c r="U822" s="130"/>
      <c r="V822" s="130"/>
    </row>
    <row r="823" ht="15.75" customHeight="1">
      <c r="O823" s="130"/>
      <c r="P823" s="130"/>
      <c r="Q823" s="130"/>
      <c r="R823" s="130"/>
      <c r="S823" s="130"/>
      <c r="T823" s="130"/>
      <c r="U823" s="130"/>
      <c r="V823" s="130"/>
    </row>
    <row r="824" ht="15.75" customHeight="1">
      <c r="O824" s="130"/>
      <c r="P824" s="130"/>
      <c r="Q824" s="130"/>
      <c r="R824" s="130"/>
      <c r="S824" s="130"/>
      <c r="T824" s="130"/>
      <c r="U824" s="130"/>
      <c r="V824" s="130"/>
    </row>
    <row r="825" ht="15.75" customHeight="1">
      <c r="O825" s="130"/>
      <c r="P825" s="130"/>
      <c r="Q825" s="130"/>
      <c r="R825" s="130"/>
      <c r="S825" s="130"/>
      <c r="T825" s="130"/>
      <c r="U825" s="130"/>
      <c r="V825" s="130"/>
    </row>
    <row r="826" ht="15.75" customHeight="1">
      <c r="O826" s="130"/>
      <c r="P826" s="130"/>
      <c r="Q826" s="130"/>
      <c r="R826" s="130"/>
      <c r="S826" s="130"/>
      <c r="T826" s="130"/>
      <c r="U826" s="130"/>
      <c r="V826" s="130"/>
    </row>
    <row r="827" ht="15.75" customHeight="1">
      <c r="O827" s="130"/>
      <c r="P827" s="130"/>
      <c r="Q827" s="130"/>
      <c r="R827" s="130"/>
      <c r="S827" s="130"/>
      <c r="T827" s="130"/>
      <c r="U827" s="130"/>
      <c r="V827" s="130"/>
    </row>
    <row r="828" ht="15.75" customHeight="1">
      <c r="O828" s="130"/>
      <c r="P828" s="130"/>
      <c r="Q828" s="130"/>
      <c r="R828" s="130"/>
      <c r="S828" s="130"/>
      <c r="T828" s="130"/>
      <c r="U828" s="130"/>
      <c r="V828" s="130"/>
    </row>
    <row r="829" ht="15.75" customHeight="1">
      <c r="O829" s="130"/>
      <c r="P829" s="130"/>
      <c r="Q829" s="130"/>
      <c r="R829" s="130"/>
      <c r="S829" s="130"/>
      <c r="T829" s="130"/>
      <c r="U829" s="130"/>
      <c r="V829" s="130"/>
    </row>
    <row r="830" ht="15.75" customHeight="1">
      <c r="O830" s="130"/>
      <c r="P830" s="130"/>
      <c r="Q830" s="130"/>
      <c r="R830" s="130"/>
      <c r="S830" s="130"/>
      <c r="T830" s="130"/>
      <c r="U830" s="130"/>
      <c r="V830" s="130"/>
    </row>
    <row r="831" ht="15.75" customHeight="1">
      <c r="O831" s="130"/>
      <c r="P831" s="130"/>
      <c r="Q831" s="130"/>
      <c r="R831" s="130"/>
      <c r="S831" s="130"/>
      <c r="T831" s="130"/>
      <c r="U831" s="130"/>
      <c r="V831" s="130"/>
    </row>
    <row r="832" ht="15.75" customHeight="1">
      <c r="O832" s="130"/>
      <c r="P832" s="130"/>
      <c r="Q832" s="130"/>
      <c r="R832" s="130"/>
      <c r="S832" s="130"/>
      <c r="T832" s="130"/>
      <c r="U832" s="130"/>
      <c r="V832" s="130"/>
    </row>
    <row r="833" ht="15.75" customHeight="1">
      <c r="O833" s="130"/>
      <c r="P833" s="130"/>
      <c r="Q833" s="130"/>
      <c r="R833" s="130"/>
      <c r="S833" s="130"/>
      <c r="T833" s="130"/>
      <c r="U833" s="130"/>
      <c r="V833" s="130"/>
    </row>
    <row r="834" ht="15.75" customHeight="1">
      <c r="O834" s="130"/>
      <c r="P834" s="130"/>
      <c r="Q834" s="130"/>
      <c r="R834" s="130"/>
      <c r="S834" s="130"/>
      <c r="T834" s="130"/>
      <c r="U834" s="130"/>
      <c r="V834" s="130"/>
    </row>
    <row r="835" ht="15.75" customHeight="1">
      <c r="O835" s="130"/>
      <c r="P835" s="130"/>
      <c r="Q835" s="130"/>
      <c r="R835" s="130"/>
      <c r="S835" s="130"/>
      <c r="T835" s="130"/>
      <c r="U835" s="130"/>
      <c r="V835" s="130"/>
    </row>
    <row r="836" ht="15.75" customHeight="1">
      <c r="O836" s="130"/>
      <c r="P836" s="130"/>
      <c r="Q836" s="130"/>
      <c r="R836" s="130"/>
      <c r="S836" s="130"/>
      <c r="T836" s="130"/>
      <c r="U836" s="130"/>
      <c r="V836" s="130"/>
    </row>
    <row r="837" ht="15.75" customHeight="1">
      <c r="O837" s="130"/>
      <c r="P837" s="130"/>
      <c r="Q837" s="130"/>
      <c r="R837" s="130"/>
      <c r="S837" s="130"/>
      <c r="T837" s="130"/>
      <c r="U837" s="130"/>
      <c r="V837" s="130"/>
    </row>
    <row r="838" ht="15.75" customHeight="1">
      <c r="O838" s="130"/>
      <c r="P838" s="130"/>
      <c r="Q838" s="130"/>
      <c r="R838" s="130"/>
      <c r="S838" s="130"/>
      <c r="T838" s="130"/>
      <c r="U838" s="130"/>
      <c r="V838" s="130"/>
    </row>
    <row r="839" ht="15.75" customHeight="1">
      <c r="O839" s="130"/>
      <c r="P839" s="130"/>
      <c r="Q839" s="130"/>
      <c r="R839" s="130"/>
      <c r="S839" s="130"/>
      <c r="T839" s="130"/>
      <c r="U839" s="130"/>
      <c r="V839" s="130"/>
    </row>
    <row r="840" ht="15.75" customHeight="1">
      <c r="O840" s="130"/>
      <c r="P840" s="130"/>
      <c r="Q840" s="130"/>
      <c r="R840" s="130"/>
      <c r="S840" s="130"/>
      <c r="T840" s="130"/>
      <c r="U840" s="130"/>
      <c r="V840" s="130"/>
    </row>
    <row r="841" ht="15.75" customHeight="1">
      <c r="O841" s="130"/>
      <c r="P841" s="130"/>
      <c r="Q841" s="130"/>
      <c r="R841" s="130"/>
      <c r="S841" s="130"/>
      <c r="T841" s="130"/>
      <c r="U841" s="130"/>
      <c r="V841" s="130"/>
    </row>
    <row r="842" ht="15.75" customHeight="1">
      <c r="O842" s="130"/>
      <c r="P842" s="130"/>
      <c r="Q842" s="130"/>
      <c r="R842" s="130"/>
      <c r="S842" s="130"/>
      <c r="T842" s="130"/>
      <c r="U842" s="130"/>
      <c r="V842" s="130"/>
    </row>
    <row r="843" ht="15.75" customHeight="1">
      <c r="O843" s="130"/>
      <c r="P843" s="130"/>
      <c r="Q843" s="130"/>
      <c r="R843" s="130"/>
      <c r="S843" s="130"/>
      <c r="T843" s="130"/>
      <c r="U843" s="130"/>
      <c r="V843" s="130"/>
    </row>
    <row r="844" ht="15.75" customHeight="1">
      <c r="O844" s="130"/>
      <c r="P844" s="130"/>
      <c r="Q844" s="130"/>
      <c r="R844" s="130"/>
      <c r="S844" s="130"/>
      <c r="T844" s="130"/>
      <c r="U844" s="130"/>
      <c r="V844" s="130"/>
    </row>
    <row r="845" ht="15.75" customHeight="1">
      <c r="O845" s="130"/>
      <c r="P845" s="130"/>
      <c r="Q845" s="130"/>
      <c r="R845" s="130"/>
      <c r="S845" s="130"/>
      <c r="T845" s="130"/>
      <c r="U845" s="130"/>
      <c r="V845" s="130"/>
    </row>
    <row r="846" ht="15.75" customHeight="1">
      <c r="O846" s="130"/>
      <c r="P846" s="130"/>
      <c r="Q846" s="130"/>
      <c r="R846" s="130"/>
      <c r="S846" s="130"/>
      <c r="T846" s="130"/>
      <c r="U846" s="130"/>
      <c r="V846" s="130"/>
    </row>
    <row r="847" ht="15.75" customHeight="1">
      <c r="O847" s="130"/>
      <c r="P847" s="130"/>
      <c r="Q847" s="130"/>
      <c r="R847" s="130"/>
      <c r="S847" s="130"/>
      <c r="T847" s="130"/>
      <c r="U847" s="130"/>
      <c r="V847" s="130"/>
    </row>
    <row r="848" ht="15.75" customHeight="1">
      <c r="O848" s="130"/>
      <c r="P848" s="130"/>
      <c r="Q848" s="130"/>
      <c r="R848" s="130"/>
      <c r="S848" s="130"/>
      <c r="T848" s="130"/>
      <c r="U848" s="130"/>
      <c r="V848" s="130"/>
    </row>
    <row r="849" ht="15.75" customHeight="1">
      <c r="O849" s="130"/>
      <c r="P849" s="130"/>
      <c r="Q849" s="130"/>
      <c r="R849" s="130"/>
      <c r="S849" s="130"/>
      <c r="T849" s="130"/>
      <c r="U849" s="130"/>
      <c r="V849" s="130"/>
    </row>
    <row r="850" ht="15.75" customHeight="1">
      <c r="O850" s="130"/>
      <c r="P850" s="130"/>
      <c r="Q850" s="130"/>
      <c r="R850" s="130"/>
      <c r="S850" s="130"/>
      <c r="T850" s="130"/>
      <c r="U850" s="130"/>
      <c r="V850" s="130"/>
    </row>
    <row r="851" ht="15.75" customHeight="1">
      <c r="O851" s="130"/>
      <c r="P851" s="130"/>
      <c r="Q851" s="130"/>
      <c r="R851" s="130"/>
      <c r="S851" s="130"/>
      <c r="T851" s="130"/>
      <c r="U851" s="130"/>
      <c r="V851" s="130"/>
    </row>
    <row r="852" ht="15.75" customHeight="1">
      <c r="O852" s="130"/>
      <c r="P852" s="130"/>
      <c r="Q852" s="130"/>
      <c r="R852" s="130"/>
      <c r="S852" s="130"/>
      <c r="T852" s="130"/>
      <c r="U852" s="130"/>
      <c r="V852" s="130"/>
    </row>
    <row r="853" ht="15.75" customHeight="1">
      <c r="O853" s="130"/>
      <c r="P853" s="130"/>
      <c r="Q853" s="130"/>
      <c r="R853" s="130"/>
      <c r="S853" s="130"/>
      <c r="T853" s="130"/>
      <c r="U853" s="130"/>
      <c r="V853" s="130"/>
    </row>
    <row r="854" ht="15.75" customHeight="1">
      <c r="O854" s="130"/>
      <c r="P854" s="130"/>
      <c r="Q854" s="130"/>
      <c r="R854" s="130"/>
      <c r="S854" s="130"/>
      <c r="T854" s="130"/>
      <c r="U854" s="130"/>
      <c r="V854" s="130"/>
    </row>
    <row r="855" ht="15.75" customHeight="1">
      <c r="O855" s="130"/>
      <c r="P855" s="130"/>
      <c r="Q855" s="130"/>
      <c r="R855" s="130"/>
      <c r="S855" s="130"/>
      <c r="T855" s="130"/>
      <c r="U855" s="130"/>
      <c r="V855" s="130"/>
    </row>
    <row r="856" ht="15.75" customHeight="1">
      <c r="O856" s="130"/>
      <c r="P856" s="130"/>
      <c r="Q856" s="130"/>
      <c r="R856" s="130"/>
      <c r="S856" s="130"/>
      <c r="T856" s="130"/>
      <c r="U856" s="130"/>
      <c r="V856" s="130"/>
    </row>
    <row r="857" ht="15.75" customHeight="1">
      <c r="O857" s="130"/>
      <c r="P857" s="130"/>
      <c r="Q857" s="130"/>
      <c r="R857" s="130"/>
      <c r="S857" s="130"/>
      <c r="T857" s="130"/>
      <c r="U857" s="130"/>
      <c r="V857" s="130"/>
    </row>
    <row r="858" ht="15.75" customHeight="1">
      <c r="O858" s="130"/>
      <c r="P858" s="130"/>
      <c r="Q858" s="130"/>
      <c r="R858" s="130"/>
      <c r="S858" s="130"/>
      <c r="T858" s="130"/>
      <c r="U858" s="130"/>
      <c r="V858" s="130"/>
    </row>
    <row r="859" ht="15.75" customHeight="1">
      <c r="O859" s="130"/>
      <c r="P859" s="130"/>
      <c r="Q859" s="130"/>
      <c r="R859" s="130"/>
      <c r="S859" s="130"/>
      <c r="T859" s="130"/>
      <c r="U859" s="130"/>
      <c r="V859" s="130"/>
    </row>
    <row r="860" ht="15.75" customHeight="1">
      <c r="O860" s="130"/>
      <c r="P860" s="130"/>
      <c r="Q860" s="130"/>
      <c r="R860" s="130"/>
      <c r="S860" s="130"/>
      <c r="T860" s="130"/>
      <c r="U860" s="130"/>
      <c r="V860" s="130"/>
    </row>
    <row r="861" ht="15.75" customHeight="1">
      <c r="O861" s="130"/>
      <c r="P861" s="130"/>
      <c r="Q861" s="130"/>
      <c r="R861" s="130"/>
      <c r="S861" s="130"/>
      <c r="T861" s="130"/>
      <c r="U861" s="130"/>
      <c r="V861" s="130"/>
    </row>
    <row r="862" ht="15.75" customHeight="1">
      <c r="O862" s="130"/>
      <c r="P862" s="130"/>
      <c r="Q862" s="130"/>
      <c r="R862" s="130"/>
      <c r="S862" s="130"/>
      <c r="T862" s="130"/>
      <c r="U862" s="130"/>
      <c r="V862" s="130"/>
    </row>
    <row r="863" ht="15.75" customHeight="1">
      <c r="O863" s="130"/>
      <c r="P863" s="130"/>
      <c r="Q863" s="130"/>
      <c r="R863" s="130"/>
      <c r="S863" s="130"/>
      <c r="T863" s="130"/>
      <c r="U863" s="130"/>
      <c r="V863" s="130"/>
    </row>
    <row r="864" ht="15.75" customHeight="1">
      <c r="O864" s="130"/>
      <c r="P864" s="130"/>
      <c r="Q864" s="130"/>
      <c r="R864" s="130"/>
      <c r="S864" s="130"/>
      <c r="T864" s="130"/>
      <c r="U864" s="130"/>
      <c r="V864" s="130"/>
    </row>
    <row r="865" ht="15.75" customHeight="1">
      <c r="O865" s="130"/>
      <c r="P865" s="130"/>
      <c r="Q865" s="130"/>
      <c r="R865" s="130"/>
      <c r="S865" s="130"/>
      <c r="T865" s="130"/>
      <c r="U865" s="130"/>
      <c r="V865" s="130"/>
    </row>
    <row r="866" ht="15.75" customHeight="1">
      <c r="O866" s="130"/>
      <c r="P866" s="130"/>
      <c r="Q866" s="130"/>
      <c r="R866" s="130"/>
      <c r="S866" s="130"/>
      <c r="T866" s="130"/>
      <c r="U866" s="130"/>
      <c r="V866" s="130"/>
    </row>
    <row r="867" ht="15.75" customHeight="1">
      <c r="O867" s="130"/>
      <c r="P867" s="130"/>
      <c r="Q867" s="130"/>
      <c r="R867" s="130"/>
      <c r="S867" s="130"/>
      <c r="T867" s="130"/>
      <c r="U867" s="130"/>
      <c r="V867" s="130"/>
    </row>
    <row r="868" ht="15.75" customHeight="1">
      <c r="O868" s="130"/>
      <c r="P868" s="130"/>
      <c r="Q868" s="130"/>
      <c r="R868" s="130"/>
      <c r="S868" s="130"/>
      <c r="T868" s="130"/>
      <c r="U868" s="130"/>
      <c r="V868" s="130"/>
    </row>
    <row r="869" ht="15.75" customHeight="1">
      <c r="O869" s="130"/>
      <c r="P869" s="130"/>
      <c r="Q869" s="130"/>
      <c r="R869" s="130"/>
      <c r="S869" s="130"/>
      <c r="T869" s="130"/>
      <c r="U869" s="130"/>
      <c r="V869" s="130"/>
    </row>
    <row r="870" ht="15.75" customHeight="1">
      <c r="O870" s="130"/>
      <c r="P870" s="130"/>
      <c r="Q870" s="130"/>
      <c r="R870" s="130"/>
      <c r="S870" s="130"/>
      <c r="T870" s="130"/>
      <c r="U870" s="130"/>
      <c r="V870" s="130"/>
    </row>
    <row r="871" ht="15.75" customHeight="1">
      <c r="O871" s="130"/>
      <c r="P871" s="130"/>
      <c r="Q871" s="130"/>
      <c r="R871" s="130"/>
      <c r="S871" s="130"/>
      <c r="T871" s="130"/>
      <c r="U871" s="130"/>
      <c r="V871" s="130"/>
    </row>
    <row r="872" ht="15.75" customHeight="1">
      <c r="O872" s="130"/>
      <c r="P872" s="130"/>
      <c r="Q872" s="130"/>
      <c r="R872" s="130"/>
      <c r="S872" s="130"/>
      <c r="T872" s="130"/>
      <c r="U872" s="130"/>
      <c r="V872" s="130"/>
    </row>
    <row r="873" ht="15.75" customHeight="1">
      <c r="O873" s="130"/>
      <c r="P873" s="130"/>
      <c r="Q873" s="130"/>
      <c r="R873" s="130"/>
      <c r="S873" s="130"/>
      <c r="T873" s="130"/>
      <c r="U873" s="130"/>
      <c r="V873" s="130"/>
    </row>
    <row r="874" ht="15.75" customHeight="1">
      <c r="O874" s="130"/>
      <c r="P874" s="130"/>
      <c r="Q874" s="130"/>
      <c r="R874" s="130"/>
      <c r="S874" s="130"/>
      <c r="T874" s="130"/>
      <c r="U874" s="130"/>
      <c r="V874" s="130"/>
    </row>
    <row r="875" ht="15.75" customHeight="1">
      <c r="O875" s="130"/>
      <c r="P875" s="130"/>
      <c r="Q875" s="130"/>
      <c r="R875" s="130"/>
      <c r="S875" s="130"/>
      <c r="T875" s="130"/>
      <c r="U875" s="130"/>
      <c r="V875" s="130"/>
    </row>
    <row r="876" ht="15.75" customHeight="1">
      <c r="O876" s="130"/>
      <c r="P876" s="130"/>
      <c r="Q876" s="130"/>
      <c r="R876" s="130"/>
      <c r="S876" s="130"/>
      <c r="T876" s="130"/>
      <c r="U876" s="130"/>
      <c r="V876" s="130"/>
    </row>
    <row r="877" ht="15.75" customHeight="1">
      <c r="O877" s="130"/>
      <c r="P877" s="130"/>
      <c r="Q877" s="130"/>
      <c r="R877" s="130"/>
      <c r="S877" s="130"/>
      <c r="T877" s="130"/>
      <c r="U877" s="130"/>
      <c r="V877" s="130"/>
    </row>
    <row r="878" ht="15.75" customHeight="1">
      <c r="O878" s="130"/>
      <c r="P878" s="130"/>
      <c r="Q878" s="130"/>
      <c r="R878" s="130"/>
      <c r="S878" s="130"/>
      <c r="T878" s="130"/>
      <c r="U878" s="130"/>
      <c r="V878" s="130"/>
    </row>
    <row r="879" ht="15.75" customHeight="1">
      <c r="O879" s="130"/>
      <c r="P879" s="130"/>
      <c r="Q879" s="130"/>
      <c r="R879" s="130"/>
      <c r="S879" s="130"/>
      <c r="T879" s="130"/>
      <c r="U879" s="130"/>
      <c r="V879" s="130"/>
    </row>
    <row r="880" ht="15.75" customHeight="1">
      <c r="O880" s="130"/>
      <c r="P880" s="130"/>
      <c r="Q880" s="130"/>
      <c r="R880" s="130"/>
      <c r="S880" s="130"/>
      <c r="T880" s="130"/>
      <c r="U880" s="130"/>
      <c r="V880" s="130"/>
    </row>
    <row r="881" ht="15.75" customHeight="1">
      <c r="O881" s="130"/>
      <c r="P881" s="130"/>
      <c r="Q881" s="130"/>
      <c r="R881" s="130"/>
      <c r="S881" s="130"/>
      <c r="T881" s="130"/>
      <c r="U881" s="130"/>
      <c r="V881" s="130"/>
    </row>
    <row r="882" ht="15.75" customHeight="1">
      <c r="O882" s="130"/>
      <c r="P882" s="130"/>
      <c r="Q882" s="130"/>
      <c r="R882" s="130"/>
      <c r="S882" s="130"/>
      <c r="T882" s="130"/>
      <c r="U882" s="130"/>
      <c r="V882" s="130"/>
    </row>
    <row r="883" ht="15.75" customHeight="1">
      <c r="O883" s="130"/>
      <c r="P883" s="130"/>
      <c r="Q883" s="130"/>
      <c r="R883" s="130"/>
      <c r="S883" s="130"/>
      <c r="T883" s="130"/>
      <c r="U883" s="130"/>
      <c r="V883" s="130"/>
    </row>
    <row r="884" ht="15.75" customHeight="1">
      <c r="O884" s="130"/>
      <c r="P884" s="130"/>
      <c r="Q884" s="130"/>
      <c r="R884" s="130"/>
      <c r="S884" s="130"/>
      <c r="T884" s="130"/>
      <c r="U884" s="130"/>
      <c r="V884" s="130"/>
    </row>
    <row r="885" ht="15.75" customHeight="1">
      <c r="O885" s="130"/>
      <c r="P885" s="130"/>
      <c r="Q885" s="130"/>
      <c r="R885" s="130"/>
      <c r="S885" s="130"/>
      <c r="T885" s="130"/>
      <c r="U885" s="130"/>
      <c r="V885" s="130"/>
    </row>
    <row r="886" ht="15.75" customHeight="1">
      <c r="O886" s="130"/>
      <c r="P886" s="130"/>
      <c r="Q886" s="130"/>
      <c r="R886" s="130"/>
      <c r="S886" s="130"/>
      <c r="T886" s="130"/>
      <c r="U886" s="130"/>
      <c r="V886" s="130"/>
    </row>
    <row r="887" ht="15.75" customHeight="1">
      <c r="O887" s="130"/>
      <c r="P887" s="130"/>
      <c r="Q887" s="130"/>
      <c r="R887" s="130"/>
      <c r="S887" s="130"/>
      <c r="T887" s="130"/>
      <c r="U887" s="130"/>
      <c r="V887" s="130"/>
    </row>
    <row r="888" ht="15.75" customHeight="1">
      <c r="O888" s="130"/>
      <c r="P888" s="130"/>
      <c r="Q888" s="130"/>
      <c r="R888" s="130"/>
      <c r="S888" s="130"/>
      <c r="T888" s="130"/>
      <c r="U888" s="130"/>
      <c r="V888" s="130"/>
    </row>
    <row r="889" ht="15.75" customHeight="1">
      <c r="O889" s="130"/>
      <c r="P889" s="130"/>
      <c r="Q889" s="130"/>
      <c r="R889" s="130"/>
      <c r="S889" s="130"/>
      <c r="T889" s="130"/>
      <c r="U889" s="130"/>
      <c r="V889" s="130"/>
    </row>
    <row r="890" ht="15.75" customHeight="1">
      <c r="O890" s="130"/>
      <c r="P890" s="130"/>
      <c r="Q890" s="130"/>
      <c r="R890" s="130"/>
      <c r="S890" s="130"/>
      <c r="T890" s="130"/>
      <c r="U890" s="130"/>
      <c r="V890" s="130"/>
    </row>
    <row r="891" ht="15.75" customHeight="1">
      <c r="O891" s="130"/>
      <c r="P891" s="130"/>
      <c r="Q891" s="130"/>
      <c r="R891" s="130"/>
      <c r="S891" s="130"/>
      <c r="T891" s="130"/>
      <c r="U891" s="130"/>
      <c r="V891" s="130"/>
    </row>
    <row r="892" ht="15.75" customHeight="1">
      <c r="O892" s="130"/>
      <c r="P892" s="130"/>
      <c r="Q892" s="130"/>
      <c r="R892" s="130"/>
      <c r="S892" s="130"/>
      <c r="T892" s="130"/>
      <c r="U892" s="130"/>
      <c r="V892" s="130"/>
    </row>
    <row r="893" ht="15.75" customHeight="1">
      <c r="O893" s="130"/>
      <c r="P893" s="130"/>
      <c r="Q893" s="130"/>
      <c r="R893" s="130"/>
      <c r="S893" s="130"/>
      <c r="T893" s="130"/>
      <c r="U893" s="130"/>
      <c r="V893" s="130"/>
    </row>
    <row r="894" ht="15.75" customHeight="1">
      <c r="O894" s="130"/>
      <c r="P894" s="130"/>
      <c r="Q894" s="130"/>
      <c r="R894" s="130"/>
      <c r="S894" s="130"/>
      <c r="T894" s="130"/>
      <c r="U894" s="130"/>
      <c r="V894" s="130"/>
    </row>
    <row r="895" ht="15.75" customHeight="1">
      <c r="O895" s="130"/>
      <c r="P895" s="130"/>
      <c r="Q895" s="130"/>
      <c r="R895" s="130"/>
      <c r="S895" s="130"/>
      <c r="T895" s="130"/>
      <c r="U895" s="130"/>
      <c r="V895" s="130"/>
    </row>
    <row r="896" ht="15.75" customHeight="1">
      <c r="O896" s="130"/>
      <c r="P896" s="130"/>
      <c r="Q896" s="130"/>
      <c r="R896" s="130"/>
      <c r="S896" s="130"/>
      <c r="T896" s="130"/>
      <c r="U896" s="130"/>
      <c r="V896" s="130"/>
    </row>
    <row r="897" ht="15.75" customHeight="1">
      <c r="O897" s="130"/>
      <c r="P897" s="130"/>
      <c r="Q897" s="130"/>
      <c r="R897" s="130"/>
      <c r="S897" s="130"/>
      <c r="T897" s="130"/>
      <c r="U897" s="130"/>
      <c r="V897" s="130"/>
    </row>
    <row r="898" ht="15.75" customHeight="1">
      <c r="O898" s="130"/>
      <c r="P898" s="130"/>
      <c r="Q898" s="130"/>
      <c r="R898" s="130"/>
      <c r="S898" s="130"/>
      <c r="T898" s="130"/>
      <c r="U898" s="130"/>
      <c r="V898" s="130"/>
    </row>
    <row r="899" ht="15.75" customHeight="1">
      <c r="O899" s="130"/>
      <c r="P899" s="130"/>
      <c r="Q899" s="130"/>
      <c r="R899" s="130"/>
      <c r="S899" s="130"/>
      <c r="T899" s="130"/>
      <c r="U899" s="130"/>
      <c r="V899" s="130"/>
    </row>
    <row r="900" ht="15.75" customHeight="1">
      <c r="O900" s="130"/>
      <c r="P900" s="130"/>
      <c r="Q900" s="130"/>
      <c r="R900" s="130"/>
      <c r="S900" s="130"/>
      <c r="T900" s="130"/>
      <c r="U900" s="130"/>
      <c r="V900" s="130"/>
    </row>
    <row r="901" ht="15.75" customHeight="1">
      <c r="O901" s="130"/>
      <c r="P901" s="130"/>
      <c r="Q901" s="130"/>
      <c r="R901" s="130"/>
      <c r="S901" s="130"/>
      <c r="T901" s="130"/>
      <c r="U901" s="130"/>
      <c r="V901" s="130"/>
    </row>
    <row r="902" ht="15.75" customHeight="1">
      <c r="O902" s="130"/>
      <c r="P902" s="130"/>
      <c r="Q902" s="130"/>
      <c r="R902" s="130"/>
      <c r="S902" s="130"/>
      <c r="T902" s="130"/>
      <c r="U902" s="130"/>
      <c r="V902" s="130"/>
    </row>
    <row r="903" ht="15.75" customHeight="1">
      <c r="O903" s="130"/>
      <c r="P903" s="130"/>
      <c r="Q903" s="130"/>
      <c r="R903" s="130"/>
      <c r="S903" s="130"/>
      <c r="T903" s="130"/>
      <c r="U903" s="130"/>
      <c r="V903" s="130"/>
    </row>
    <row r="904" ht="15.75" customHeight="1">
      <c r="O904" s="130"/>
      <c r="P904" s="130"/>
      <c r="Q904" s="130"/>
      <c r="R904" s="130"/>
      <c r="S904" s="130"/>
      <c r="T904" s="130"/>
      <c r="U904" s="130"/>
      <c r="V904" s="130"/>
    </row>
    <row r="905" ht="15.75" customHeight="1">
      <c r="O905" s="130"/>
      <c r="P905" s="130"/>
      <c r="Q905" s="130"/>
      <c r="R905" s="130"/>
      <c r="S905" s="130"/>
      <c r="T905" s="130"/>
      <c r="U905" s="130"/>
      <c r="V905" s="130"/>
    </row>
    <row r="906" ht="15.75" customHeight="1">
      <c r="O906" s="130"/>
      <c r="P906" s="130"/>
      <c r="Q906" s="130"/>
      <c r="R906" s="130"/>
      <c r="S906" s="130"/>
      <c r="T906" s="130"/>
      <c r="U906" s="130"/>
      <c r="V906" s="130"/>
    </row>
    <row r="907" ht="15.75" customHeight="1">
      <c r="O907" s="130"/>
      <c r="P907" s="130"/>
      <c r="Q907" s="130"/>
      <c r="R907" s="130"/>
      <c r="S907" s="130"/>
      <c r="T907" s="130"/>
      <c r="U907" s="130"/>
      <c r="V907" s="130"/>
    </row>
    <row r="908" ht="15.75" customHeight="1">
      <c r="O908" s="130"/>
      <c r="P908" s="130"/>
      <c r="Q908" s="130"/>
      <c r="R908" s="130"/>
      <c r="S908" s="130"/>
      <c r="T908" s="130"/>
      <c r="U908" s="130"/>
      <c r="V908" s="130"/>
    </row>
    <row r="909" ht="15.75" customHeight="1">
      <c r="O909" s="130"/>
      <c r="P909" s="130"/>
      <c r="Q909" s="130"/>
      <c r="R909" s="130"/>
      <c r="S909" s="130"/>
      <c r="T909" s="130"/>
      <c r="U909" s="130"/>
      <c r="V909" s="130"/>
    </row>
    <row r="910" ht="15.75" customHeight="1">
      <c r="O910" s="130"/>
      <c r="P910" s="130"/>
      <c r="Q910" s="130"/>
      <c r="R910" s="130"/>
      <c r="S910" s="130"/>
      <c r="T910" s="130"/>
      <c r="U910" s="130"/>
      <c r="V910" s="130"/>
    </row>
    <row r="911" ht="15.75" customHeight="1">
      <c r="O911" s="130"/>
      <c r="P911" s="130"/>
      <c r="Q911" s="130"/>
      <c r="R911" s="130"/>
      <c r="S911" s="130"/>
      <c r="T911" s="130"/>
      <c r="U911" s="130"/>
      <c r="V911" s="130"/>
    </row>
    <row r="912" ht="15.75" customHeight="1">
      <c r="O912" s="130"/>
      <c r="P912" s="130"/>
      <c r="Q912" s="130"/>
      <c r="R912" s="130"/>
      <c r="S912" s="130"/>
      <c r="T912" s="130"/>
      <c r="U912" s="130"/>
      <c r="V912" s="130"/>
    </row>
    <row r="913" ht="15.75" customHeight="1">
      <c r="O913" s="130"/>
      <c r="P913" s="130"/>
      <c r="Q913" s="130"/>
      <c r="R913" s="130"/>
      <c r="S913" s="130"/>
      <c r="T913" s="130"/>
      <c r="U913" s="130"/>
      <c r="V913" s="130"/>
    </row>
    <row r="914" ht="15.75" customHeight="1">
      <c r="O914" s="130"/>
      <c r="P914" s="130"/>
      <c r="Q914" s="130"/>
      <c r="R914" s="130"/>
      <c r="S914" s="130"/>
      <c r="T914" s="130"/>
      <c r="U914" s="130"/>
      <c r="V914" s="130"/>
    </row>
    <row r="915" ht="15.75" customHeight="1">
      <c r="O915" s="130"/>
      <c r="P915" s="130"/>
      <c r="Q915" s="130"/>
      <c r="R915" s="130"/>
      <c r="S915" s="130"/>
      <c r="T915" s="130"/>
      <c r="U915" s="130"/>
      <c r="V915" s="130"/>
    </row>
    <row r="916" ht="15.75" customHeight="1">
      <c r="O916" s="130"/>
      <c r="P916" s="130"/>
      <c r="Q916" s="130"/>
      <c r="R916" s="130"/>
      <c r="S916" s="130"/>
      <c r="T916" s="130"/>
      <c r="U916" s="130"/>
      <c r="V916" s="130"/>
    </row>
    <row r="917" ht="15.75" customHeight="1">
      <c r="O917" s="130"/>
      <c r="P917" s="130"/>
      <c r="Q917" s="130"/>
      <c r="R917" s="130"/>
      <c r="S917" s="130"/>
      <c r="T917" s="130"/>
      <c r="U917" s="130"/>
      <c r="V917" s="130"/>
    </row>
    <row r="918" ht="15.75" customHeight="1">
      <c r="O918" s="130"/>
      <c r="P918" s="130"/>
      <c r="Q918" s="130"/>
      <c r="R918" s="130"/>
      <c r="S918" s="130"/>
      <c r="T918" s="130"/>
      <c r="U918" s="130"/>
      <c r="V918" s="130"/>
    </row>
    <row r="919" ht="15.75" customHeight="1">
      <c r="O919" s="130"/>
      <c r="P919" s="130"/>
      <c r="Q919" s="130"/>
      <c r="R919" s="130"/>
      <c r="S919" s="130"/>
      <c r="T919" s="130"/>
      <c r="U919" s="130"/>
      <c r="V919" s="130"/>
    </row>
    <row r="920" ht="15.75" customHeight="1">
      <c r="O920" s="130"/>
      <c r="P920" s="130"/>
      <c r="Q920" s="130"/>
      <c r="R920" s="130"/>
      <c r="S920" s="130"/>
      <c r="T920" s="130"/>
      <c r="U920" s="130"/>
      <c r="V920" s="130"/>
    </row>
    <row r="921" ht="15.75" customHeight="1">
      <c r="O921" s="130"/>
      <c r="P921" s="130"/>
      <c r="Q921" s="130"/>
      <c r="R921" s="130"/>
      <c r="S921" s="130"/>
      <c r="T921" s="130"/>
      <c r="U921" s="130"/>
      <c r="V921" s="130"/>
    </row>
    <row r="922" ht="15.75" customHeight="1">
      <c r="O922" s="130"/>
      <c r="P922" s="130"/>
      <c r="Q922" s="130"/>
      <c r="R922" s="130"/>
      <c r="S922" s="130"/>
      <c r="T922" s="130"/>
      <c r="U922" s="130"/>
      <c r="V922" s="130"/>
    </row>
    <row r="923" ht="15.75" customHeight="1">
      <c r="O923" s="130"/>
      <c r="P923" s="130"/>
      <c r="Q923" s="130"/>
      <c r="R923" s="130"/>
      <c r="S923" s="130"/>
      <c r="T923" s="130"/>
      <c r="U923" s="130"/>
      <c r="V923" s="130"/>
    </row>
    <row r="924" ht="15.75" customHeight="1">
      <c r="O924" s="130"/>
      <c r="P924" s="130"/>
      <c r="Q924" s="130"/>
      <c r="R924" s="130"/>
      <c r="S924" s="130"/>
      <c r="T924" s="130"/>
      <c r="U924" s="130"/>
      <c r="V924" s="130"/>
    </row>
    <row r="925" ht="15.75" customHeight="1">
      <c r="O925" s="130"/>
      <c r="P925" s="130"/>
      <c r="Q925" s="130"/>
      <c r="R925" s="130"/>
      <c r="S925" s="130"/>
      <c r="T925" s="130"/>
      <c r="U925" s="130"/>
      <c r="V925" s="130"/>
    </row>
    <row r="926" ht="15.75" customHeight="1">
      <c r="O926" s="130"/>
      <c r="P926" s="130"/>
      <c r="Q926" s="130"/>
      <c r="R926" s="130"/>
      <c r="S926" s="130"/>
      <c r="T926" s="130"/>
      <c r="U926" s="130"/>
      <c r="V926" s="130"/>
    </row>
    <row r="927" ht="15.75" customHeight="1">
      <c r="O927" s="130"/>
      <c r="P927" s="130"/>
      <c r="Q927" s="130"/>
      <c r="R927" s="130"/>
      <c r="S927" s="130"/>
      <c r="T927" s="130"/>
      <c r="U927" s="130"/>
      <c r="V927" s="130"/>
    </row>
    <row r="928" ht="15.75" customHeight="1">
      <c r="O928" s="130"/>
      <c r="P928" s="130"/>
      <c r="Q928" s="130"/>
      <c r="R928" s="130"/>
      <c r="S928" s="130"/>
      <c r="T928" s="130"/>
      <c r="U928" s="130"/>
      <c r="V928" s="130"/>
    </row>
    <row r="929" ht="15.75" customHeight="1">
      <c r="O929" s="130"/>
      <c r="P929" s="130"/>
      <c r="Q929" s="130"/>
      <c r="R929" s="130"/>
      <c r="S929" s="130"/>
      <c r="T929" s="130"/>
      <c r="U929" s="130"/>
      <c r="V929" s="130"/>
    </row>
    <row r="930" ht="15.75" customHeight="1">
      <c r="O930" s="130"/>
      <c r="P930" s="130"/>
      <c r="Q930" s="130"/>
      <c r="R930" s="130"/>
      <c r="S930" s="130"/>
      <c r="T930" s="130"/>
      <c r="U930" s="130"/>
      <c r="V930" s="130"/>
    </row>
    <row r="931" ht="15.75" customHeight="1">
      <c r="O931" s="130"/>
      <c r="P931" s="130"/>
      <c r="Q931" s="130"/>
      <c r="R931" s="130"/>
      <c r="S931" s="130"/>
      <c r="T931" s="130"/>
      <c r="U931" s="130"/>
      <c r="V931" s="130"/>
    </row>
    <row r="932" ht="15.75" customHeight="1">
      <c r="O932" s="130"/>
      <c r="P932" s="130"/>
      <c r="Q932" s="130"/>
      <c r="R932" s="130"/>
      <c r="S932" s="130"/>
      <c r="T932" s="130"/>
      <c r="U932" s="130"/>
      <c r="V932" s="130"/>
    </row>
    <row r="933" ht="15.75" customHeight="1">
      <c r="O933" s="130"/>
      <c r="P933" s="130"/>
      <c r="Q933" s="130"/>
      <c r="R933" s="130"/>
      <c r="S933" s="130"/>
      <c r="T933" s="130"/>
      <c r="U933" s="130"/>
      <c r="V933" s="130"/>
    </row>
    <row r="934" ht="15.75" customHeight="1">
      <c r="O934" s="130"/>
      <c r="P934" s="130"/>
      <c r="Q934" s="130"/>
      <c r="R934" s="130"/>
      <c r="S934" s="130"/>
      <c r="T934" s="130"/>
      <c r="U934" s="130"/>
      <c r="V934" s="130"/>
    </row>
    <row r="935" ht="15.75" customHeight="1">
      <c r="O935" s="130"/>
      <c r="P935" s="130"/>
      <c r="Q935" s="130"/>
      <c r="R935" s="130"/>
      <c r="S935" s="130"/>
      <c r="T935" s="130"/>
      <c r="U935" s="130"/>
      <c r="V935" s="130"/>
    </row>
    <row r="936" ht="15.75" customHeight="1">
      <c r="O936" s="130"/>
      <c r="P936" s="130"/>
      <c r="Q936" s="130"/>
      <c r="R936" s="130"/>
      <c r="S936" s="130"/>
      <c r="T936" s="130"/>
      <c r="U936" s="130"/>
      <c r="V936" s="130"/>
    </row>
    <row r="937" ht="15.75" customHeight="1">
      <c r="O937" s="130"/>
      <c r="P937" s="130"/>
      <c r="Q937" s="130"/>
      <c r="R937" s="130"/>
      <c r="S937" s="130"/>
      <c r="T937" s="130"/>
      <c r="U937" s="130"/>
      <c r="V937" s="130"/>
    </row>
    <row r="938" ht="15.75" customHeight="1">
      <c r="O938" s="130"/>
      <c r="P938" s="130"/>
      <c r="Q938" s="130"/>
      <c r="R938" s="130"/>
      <c r="S938" s="130"/>
      <c r="T938" s="130"/>
      <c r="U938" s="130"/>
      <c r="V938" s="130"/>
    </row>
    <row r="939" ht="15.75" customHeight="1">
      <c r="O939" s="130"/>
      <c r="P939" s="130"/>
      <c r="Q939" s="130"/>
      <c r="R939" s="130"/>
      <c r="S939" s="130"/>
      <c r="T939" s="130"/>
      <c r="U939" s="130"/>
      <c r="V939" s="130"/>
    </row>
    <row r="940" ht="15.75" customHeight="1">
      <c r="O940" s="130"/>
      <c r="P940" s="130"/>
      <c r="Q940" s="130"/>
      <c r="R940" s="130"/>
      <c r="S940" s="130"/>
      <c r="T940" s="130"/>
      <c r="U940" s="130"/>
      <c r="V940" s="130"/>
    </row>
    <row r="941" ht="15.75" customHeight="1">
      <c r="O941" s="130"/>
      <c r="P941" s="130"/>
      <c r="Q941" s="130"/>
      <c r="R941" s="130"/>
      <c r="S941" s="130"/>
      <c r="T941" s="130"/>
      <c r="U941" s="130"/>
      <c r="V941" s="130"/>
    </row>
    <row r="942" ht="15.75" customHeight="1">
      <c r="O942" s="130"/>
      <c r="P942" s="130"/>
      <c r="Q942" s="130"/>
      <c r="R942" s="130"/>
      <c r="S942" s="130"/>
      <c r="T942" s="130"/>
      <c r="U942" s="130"/>
      <c r="V942" s="130"/>
    </row>
    <row r="943" ht="15.75" customHeight="1">
      <c r="O943" s="130"/>
      <c r="P943" s="130"/>
      <c r="Q943" s="130"/>
      <c r="R943" s="130"/>
      <c r="S943" s="130"/>
      <c r="T943" s="130"/>
      <c r="U943" s="130"/>
      <c r="V943" s="130"/>
    </row>
    <row r="944" ht="15.75" customHeight="1">
      <c r="O944" s="130"/>
      <c r="P944" s="130"/>
      <c r="Q944" s="130"/>
      <c r="R944" s="130"/>
      <c r="S944" s="130"/>
      <c r="T944" s="130"/>
      <c r="U944" s="130"/>
      <c r="V944" s="130"/>
    </row>
    <row r="945" ht="15.75" customHeight="1">
      <c r="O945" s="130"/>
      <c r="P945" s="130"/>
      <c r="Q945" s="130"/>
      <c r="R945" s="130"/>
      <c r="S945" s="130"/>
      <c r="T945" s="130"/>
      <c r="U945" s="130"/>
      <c r="V945" s="130"/>
    </row>
    <row r="946" ht="15.75" customHeight="1">
      <c r="O946" s="130"/>
      <c r="P946" s="130"/>
      <c r="Q946" s="130"/>
      <c r="R946" s="130"/>
      <c r="S946" s="130"/>
      <c r="T946" s="130"/>
      <c r="U946" s="130"/>
      <c r="V946" s="130"/>
    </row>
    <row r="947" ht="15.75" customHeight="1">
      <c r="O947" s="130"/>
      <c r="P947" s="130"/>
      <c r="Q947" s="130"/>
      <c r="R947" s="130"/>
      <c r="S947" s="130"/>
      <c r="T947" s="130"/>
      <c r="U947" s="130"/>
      <c r="V947" s="130"/>
    </row>
    <row r="948" ht="15.75" customHeight="1">
      <c r="O948" s="130"/>
      <c r="P948" s="130"/>
      <c r="Q948" s="130"/>
      <c r="R948" s="130"/>
      <c r="S948" s="130"/>
      <c r="T948" s="130"/>
      <c r="U948" s="130"/>
      <c r="V948" s="130"/>
    </row>
    <row r="949" ht="15.75" customHeight="1">
      <c r="O949" s="130"/>
      <c r="P949" s="130"/>
      <c r="Q949" s="130"/>
      <c r="R949" s="130"/>
      <c r="S949" s="130"/>
      <c r="T949" s="130"/>
      <c r="U949" s="130"/>
      <c r="V949" s="130"/>
    </row>
    <row r="950" ht="15.75" customHeight="1">
      <c r="O950" s="130"/>
      <c r="P950" s="130"/>
      <c r="Q950" s="130"/>
      <c r="R950" s="130"/>
      <c r="S950" s="130"/>
      <c r="T950" s="130"/>
      <c r="U950" s="130"/>
      <c r="V950" s="130"/>
    </row>
    <row r="951" ht="15.75" customHeight="1">
      <c r="O951" s="130"/>
      <c r="P951" s="130"/>
      <c r="Q951" s="130"/>
      <c r="R951" s="130"/>
      <c r="S951" s="130"/>
      <c r="T951" s="130"/>
      <c r="U951" s="130"/>
      <c r="V951" s="130"/>
    </row>
    <row r="952" ht="15.75" customHeight="1">
      <c r="O952" s="130"/>
      <c r="P952" s="130"/>
      <c r="Q952" s="130"/>
      <c r="R952" s="130"/>
      <c r="S952" s="130"/>
      <c r="T952" s="130"/>
      <c r="U952" s="130"/>
      <c r="V952" s="130"/>
    </row>
    <row r="953" ht="15.75" customHeight="1">
      <c r="O953" s="130"/>
      <c r="P953" s="130"/>
      <c r="Q953" s="130"/>
      <c r="R953" s="130"/>
      <c r="S953" s="130"/>
      <c r="T953" s="130"/>
      <c r="U953" s="130"/>
      <c r="V953" s="130"/>
    </row>
    <row r="954" ht="15.75" customHeight="1">
      <c r="O954" s="130"/>
      <c r="P954" s="130"/>
      <c r="Q954" s="130"/>
      <c r="R954" s="130"/>
      <c r="S954" s="130"/>
      <c r="T954" s="130"/>
      <c r="U954" s="130"/>
      <c r="V954" s="130"/>
    </row>
    <row r="955" ht="15.75" customHeight="1">
      <c r="O955" s="130"/>
      <c r="P955" s="130"/>
      <c r="Q955" s="130"/>
      <c r="R955" s="130"/>
      <c r="S955" s="130"/>
      <c r="T955" s="130"/>
      <c r="U955" s="130"/>
      <c r="V955" s="130"/>
    </row>
    <row r="956" ht="15.75" customHeight="1">
      <c r="O956" s="130"/>
      <c r="P956" s="130"/>
      <c r="Q956" s="130"/>
      <c r="R956" s="130"/>
      <c r="S956" s="130"/>
      <c r="T956" s="130"/>
      <c r="U956" s="130"/>
      <c r="V956" s="130"/>
    </row>
    <row r="957" ht="15.75" customHeight="1">
      <c r="O957" s="130"/>
      <c r="P957" s="130"/>
      <c r="Q957" s="130"/>
      <c r="R957" s="130"/>
      <c r="S957" s="130"/>
      <c r="T957" s="130"/>
      <c r="U957" s="130"/>
      <c r="V957" s="130"/>
    </row>
    <row r="958" ht="15.75" customHeight="1">
      <c r="O958" s="130"/>
      <c r="P958" s="130"/>
      <c r="Q958" s="130"/>
      <c r="R958" s="130"/>
      <c r="S958" s="130"/>
      <c r="T958" s="130"/>
      <c r="U958" s="130"/>
      <c r="V958" s="130"/>
    </row>
    <row r="959" ht="15.75" customHeight="1">
      <c r="O959" s="130"/>
      <c r="P959" s="130"/>
      <c r="Q959" s="130"/>
      <c r="R959" s="130"/>
      <c r="S959" s="130"/>
      <c r="T959" s="130"/>
      <c r="U959" s="130"/>
      <c r="V959" s="130"/>
    </row>
    <row r="960" ht="15.75" customHeight="1">
      <c r="O960" s="130"/>
      <c r="P960" s="130"/>
      <c r="Q960" s="130"/>
      <c r="R960" s="130"/>
      <c r="S960" s="130"/>
      <c r="T960" s="130"/>
      <c r="U960" s="130"/>
      <c r="V960" s="130"/>
    </row>
    <row r="961" ht="15.75" customHeight="1">
      <c r="O961" s="130"/>
      <c r="P961" s="130"/>
      <c r="Q961" s="130"/>
      <c r="R961" s="130"/>
      <c r="S961" s="130"/>
      <c r="T961" s="130"/>
      <c r="U961" s="130"/>
      <c r="V961" s="130"/>
    </row>
    <row r="962" ht="15.75" customHeight="1">
      <c r="O962" s="130"/>
      <c r="P962" s="130"/>
      <c r="Q962" s="130"/>
      <c r="R962" s="130"/>
      <c r="S962" s="130"/>
      <c r="T962" s="130"/>
      <c r="U962" s="130"/>
      <c r="V962" s="130"/>
    </row>
    <row r="963" ht="15.75" customHeight="1">
      <c r="O963" s="130"/>
      <c r="P963" s="130"/>
      <c r="Q963" s="130"/>
      <c r="R963" s="130"/>
      <c r="S963" s="130"/>
      <c r="T963" s="130"/>
      <c r="U963" s="130"/>
      <c r="V963" s="130"/>
    </row>
    <row r="964" ht="15.75" customHeight="1">
      <c r="O964" s="130"/>
      <c r="P964" s="130"/>
      <c r="Q964" s="130"/>
      <c r="R964" s="130"/>
      <c r="S964" s="130"/>
      <c r="T964" s="130"/>
      <c r="U964" s="130"/>
      <c r="V964" s="130"/>
    </row>
    <row r="965" ht="15.75" customHeight="1">
      <c r="O965" s="130"/>
      <c r="P965" s="130"/>
      <c r="Q965" s="130"/>
      <c r="R965" s="130"/>
      <c r="S965" s="130"/>
      <c r="T965" s="130"/>
      <c r="U965" s="130"/>
      <c r="V965" s="130"/>
    </row>
    <row r="966" ht="15.75" customHeight="1">
      <c r="O966" s="130"/>
      <c r="P966" s="130"/>
      <c r="Q966" s="130"/>
      <c r="R966" s="130"/>
      <c r="S966" s="130"/>
      <c r="T966" s="130"/>
      <c r="U966" s="130"/>
      <c r="V966" s="130"/>
    </row>
    <row r="967" ht="15.75" customHeight="1">
      <c r="O967" s="130"/>
      <c r="P967" s="130"/>
      <c r="Q967" s="130"/>
      <c r="R967" s="130"/>
      <c r="S967" s="130"/>
      <c r="T967" s="130"/>
      <c r="U967" s="130"/>
      <c r="V967" s="130"/>
    </row>
    <row r="968" ht="15.75" customHeight="1">
      <c r="O968" s="130"/>
      <c r="P968" s="130"/>
      <c r="Q968" s="130"/>
      <c r="R968" s="130"/>
      <c r="S968" s="130"/>
      <c r="T968" s="130"/>
      <c r="U968" s="130"/>
      <c r="V968" s="130"/>
    </row>
    <row r="969" ht="15.75" customHeight="1">
      <c r="O969" s="130"/>
      <c r="P969" s="130"/>
      <c r="Q969" s="130"/>
      <c r="R969" s="130"/>
      <c r="S969" s="130"/>
      <c r="T969" s="130"/>
      <c r="U969" s="130"/>
      <c r="V969" s="130"/>
    </row>
    <row r="970" ht="15.75" customHeight="1">
      <c r="O970" s="130"/>
      <c r="P970" s="130"/>
      <c r="Q970" s="130"/>
      <c r="R970" s="130"/>
      <c r="S970" s="130"/>
      <c r="T970" s="130"/>
      <c r="U970" s="130"/>
      <c r="V970" s="130"/>
    </row>
    <row r="971" ht="15.75" customHeight="1">
      <c r="O971" s="130"/>
      <c r="P971" s="130"/>
      <c r="Q971" s="130"/>
      <c r="R971" s="130"/>
      <c r="S971" s="130"/>
      <c r="T971" s="130"/>
      <c r="U971" s="130"/>
      <c r="V971" s="130"/>
    </row>
    <row r="972" ht="15.75" customHeight="1">
      <c r="O972" s="130"/>
      <c r="P972" s="130"/>
      <c r="Q972" s="130"/>
      <c r="R972" s="130"/>
      <c r="S972" s="130"/>
      <c r="T972" s="130"/>
      <c r="U972" s="130"/>
      <c r="V972" s="130"/>
    </row>
    <row r="973" ht="15.75" customHeight="1">
      <c r="O973" s="130"/>
      <c r="P973" s="130"/>
      <c r="Q973" s="130"/>
      <c r="R973" s="130"/>
      <c r="S973" s="130"/>
      <c r="T973" s="130"/>
      <c r="U973" s="130"/>
      <c r="V973" s="130"/>
    </row>
    <row r="974" ht="15.75" customHeight="1">
      <c r="O974" s="130"/>
      <c r="P974" s="130"/>
      <c r="Q974" s="130"/>
      <c r="R974" s="130"/>
      <c r="S974" s="130"/>
      <c r="T974" s="130"/>
      <c r="U974" s="130"/>
      <c r="V974" s="130"/>
    </row>
    <row r="975" ht="15.75" customHeight="1">
      <c r="O975" s="130"/>
      <c r="P975" s="130"/>
      <c r="Q975" s="130"/>
      <c r="R975" s="130"/>
      <c r="S975" s="130"/>
      <c r="T975" s="130"/>
      <c r="U975" s="130"/>
      <c r="V975" s="130"/>
    </row>
    <row r="976" ht="15.75" customHeight="1">
      <c r="O976" s="130"/>
      <c r="P976" s="130"/>
      <c r="Q976" s="130"/>
      <c r="R976" s="130"/>
      <c r="S976" s="130"/>
      <c r="T976" s="130"/>
      <c r="U976" s="130"/>
      <c r="V976" s="130"/>
    </row>
    <row r="977" ht="15.75" customHeight="1">
      <c r="O977" s="130"/>
      <c r="P977" s="130"/>
      <c r="Q977" s="130"/>
      <c r="R977" s="130"/>
      <c r="S977" s="130"/>
      <c r="T977" s="130"/>
      <c r="U977" s="130"/>
      <c r="V977" s="130"/>
    </row>
    <row r="978" ht="15.75" customHeight="1">
      <c r="O978" s="130"/>
      <c r="P978" s="130"/>
      <c r="Q978" s="130"/>
      <c r="R978" s="130"/>
      <c r="S978" s="130"/>
      <c r="T978" s="130"/>
      <c r="U978" s="130"/>
      <c r="V978" s="130"/>
    </row>
    <row r="979" ht="15.75" customHeight="1">
      <c r="O979" s="130"/>
      <c r="P979" s="130"/>
      <c r="Q979" s="130"/>
      <c r="R979" s="130"/>
      <c r="S979" s="130"/>
      <c r="T979" s="130"/>
      <c r="U979" s="130"/>
      <c r="V979" s="130"/>
    </row>
    <row r="980" ht="15.75" customHeight="1">
      <c r="O980" s="130"/>
      <c r="P980" s="130"/>
      <c r="Q980" s="130"/>
      <c r="R980" s="130"/>
      <c r="S980" s="130"/>
      <c r="T980" s="130"/>
      <c r="U980" s="130"/>
      <c r="V980" s="130"/>
    </row>
    <row r="981" ht="15.75" customHeight="1">
      <c r="O981" s="130"/>
      <c r="P981" s="130"/>
      <c r="Q981" s="130"/>
      <c r="R981" s="130"/>
      <c r="S981" s="130"/>
      <c r="T981" s="130"/>
      <c r="U981" s="130"/>
      <c r="V981" s="130"/>
    </row>
    <row r="982" ht="15.75" customHeight="1">
      <c r="O982" s="130"/>
      <c r="P982" s="130"/>
      <c r="Q982" s="130"/>
      <c r="R982" s="130"/>
      <c r="S982" s="130"/>
      <c r="T982" s="130"/>
      <c r="U982" s="130"/>
      <c r="V982" s="130"/>
    </row>
    <row r="983" ht="15.75" customHeight="1">
      <c r="O983" s="130"/>
      <c r="P983" s="130"/>
      <c r="Q983" s="130"/>
      <c r="R983" s="130"/>
      <c r="S983" s="130"/>
      <c r="T983" s="130"/>
      <c r="U983" s="130"/>
      <c r="V983" s="130"/>
    </row>
    <row r="984" ht="15.75" customHeight="1">
      <c r="O984" s="130"/>
      <c r="P984" s="130"/>
      <c r="Q984" s="130"/>
      <c r="R984" s="130"/>
      <c r="S984" s="130"/>
      <c r="T984" s="130"/>
      <c r="U984" s="130"/>
      <c r="V984" s="130"/>
    </row>
    <row r="985" ht="15.75" customHeight="1">
      <c r="O985" s="130"/>
      <c r="P985" s="130"/>
      <c r="Q985" s="130"/>
      <c r="R985" s="130"/>
      <c r="S985" s="130"/>
      <c r="T985" s="130"/>
      <c r="U985" s="130"/>
      <c r="V985" s="130"/>
    </row>
    <row r="986" ht="15.75" customHeight="1">
      <c r="O986" s="130"/>
      <c r="P986" s="130"/>
      <c r="Q986" s="130"/>
      <c r="R986" s="130"/>
      <c r="S986" s="130"/>
      <c r="T986" s="130"/>
      <c r="U986" s="130"/>
      <c r="V986" s="130"/>
    </row>
    <row r="987" ht="15.75" customHeight="1">
      <c r="O987" s="130"/>
      <c r="P987" s="130"/>
      <c r="Q987" s="130"/>
      <c r="R987" s="130"/>
      <c r="S987" s="130"/>
      <c r="T987" s="130"/>
      <c r="U987" s="130"/>
      <c r="V987" s="130"/>
    </row>
    <row r="988" ht="15.75" customHeight="1">
      <c r="O988" s="130"/>
      <c r="P988" s="130"/>
      <c r="Q988" s="130"/>
      <c r="R988" s="130"/>
      <c r="S988" s="130"/>
      <c r="T988" s="130"/>
      <c r="U988" s="130"/>
      <c r="V988" s="130"/>
    </row>
    <row r="989" ht="15.75" customHeight="1">
      <c r="O989" s="130"/>
      <c r="P989" s="130"/>
      <c r="Q989" s="130"/>
      <c r="R989" s="130"/>
      <c r="S989" s="130"/>
      <c r="T989" s="130"/>
      <c r="U989" s="130"/>
      <c r="V989" s="130"/>
    </row>
    <row r="990" ht="15.75" customHeight="1">
      <c r="O990" s="130"/>
      <c r="P990" s="130"/>
      <c r="Q990" s="130"/>
      <c r="R990" s="130"/>
      <c r="S990" s="130"/>
      <c r="T990" s="130"/>
      <c r="U990" s="130"/>
      <c r="V990" s="130"/>
    </row>
    <row r="991" ht="15.75" customHeight="1">
      <c r="O991" s="130"/>
      <c r="P991" s="130"/>
      <c r="Q991" s="130"/>
      <c r="R991" s="130"/>
      <c r="S991" s="130"/>
      <c r="T991" s="130"/>
      <c r="U991" s="130"/>
      <c r="V991" s="130"/>
    </row>
    <row r="992" ht="15.75" customHeight="1">
      <c r="O992" s="130"/>
      <c r="P992" s="130"/>
      <c r="Q992" s="130"/>
      <c r="R992" s="130"/>
      <c r="S992" s="130"/>
      <c r="T992" s="130"/>
      <c r="U992" s="130"/>
      <c r="V992" s="130"/>
    </row>
    <row r="993" ht="15.75" customHeight="1">
      <c r="O993" s="130"/>
      <c r="P993" s="130"/>
      <c r="Q993" s="130"/>
      <c r="R993" s="130"/>
      <c r="S993" s="130"/>
      <c r="T993" s="130"/>
      <c r="U993" s="130"/>
      <c r="V993" s="130"/>
    </row>
    <row r="994" ht="15.75" customHeight="1">
      <c r="O994" s="130"/>
      <c r="P994" s="130"/>
      <c r="Q994" s="130"/>
      <c r="R994" s="130"/>
      <c r="S994" s="130"/>
      <c r="T994" s="130"/>
      <c r="U994" s="130"/>
      <c r="V994" s="130"/>
    </row>
    <row r="995" ht="15.75" customHeight="1">
      <c r="O995" s="130"/>
      <c r="P995" s="130"/>
      <c r="Q995" s="130"/>
      <c r="R995" s="130"/>
      <c r="S995" s="130"/>
      <c r="T995" s="130"/>
      <c r="U995" s="130"/>
      <c r="V995" s="130"/>
    </row>
    <row r="996" ht="15.75" customHeight="1">
      <c r="O996" s="130"/>
      <c r="P996" s="130"/>
      <c r="Q996" s="130"/>
      <c r="R996" s="130"/>
      <c r="S996" s="130"/>
      <c r="T996" s="130"/>
      <c r="U996" s="130"/>
      <c r="V996" s="130"/>
    </row>
    <row r="997" ht="15.75" customHeight="1">
      <c r="O997" s="130"/>
      <c r="P997" s="130"/>
      <c r="Q997" s="130"/>
      <c r="R997" s="130"/>
      <c r="S997" s="130"/>
      <c r="T997" s="130"/>
      <c r="U997" s="130"/>
      <c r="V997" s="130"/>
    </row>
    <row r="998" ht="15.75" customHeight="1">
      <c r="O998" s="130"/>
      <c r="P998" s="130"/>
      <c r="Q998" s="130"/>
      <c r="R998" s="130"/>
      <c r="S998" s="130"/>
      <c r="T998" s="130"/>
      <c r="U998" s="130"/>
      <c r="V998" s="130"/>
    </row>
    <row r="999" ht="15.75" customHeight="1">
      <c r="O999" s="130"/>
      <c r="P999" s="130"/>
      <c r="Q999" s="130"/>
      <c r="R999" s="130"/>
      <c r="S999" s="130"/>
      <c r="T999" s="130"/>
      <c r="U999" s="130"/>
      <c r="V999" s="130"/>
    </row>
    <row r="1000" ht="15.75" customHeight="1">
      <c r="O1000" s="130"/>
      <c r="P1000" s="130"/>
      <c r="Q1000" s="130"/>
      <c r="R1000" s="130"/>
      <c r="S1000" s="130"/>
      <c r="T1000" s="130"/>
      <c r="U1000" s="130"/>
      <c r="V1000" s="130"/>
    </row>
    <row r="1001" ht="15.75" customHeight="1">
      <c r="O1001" s="130"/>
      <c r="P1001" s="130"/>
      <c r="Q1001" s="130"/>
      <c r="R1001" s="130"/>
      <c r="S1001" s="130"/>
      <c r="T1001" s="130"/>
      <c r="U1001" s="130"/>
      <c r="V1001" s="130"/>
    </row>
    <row r="1002" ht="15.75" customHeight="1">
      <c r="O1002" s="130"/>
      <c r="P1002" s="130"/>
      <c r="Q1002" s="130"/>
      <c r="R1002" s="130"/>
      <c r="S1002" s="130"/>
      <c r="T1002" s="130"/>
      <c r="U1002" s="130"/>
      <c r="V1002" s="130"/>
    </row>
    <row r="1003" ht="15.75" customHeight="1">
      <c r="O1003" s="130"/>
      <c r="P1003" s="130"/>
      <c r="Q1003" s="130"/>
      <c r="R1003" s="130"/>
      <c r="S1003" s="130"/>
      <c r="T1003" s="130"/>
      <c r="U1003" s="130"/>
      <c r="V1003" s="130"/>
    </row>
    <row r="1004" ht="15.75" customHeight="1">
      <c r="O1004" s="130"/>
      <c r="P1004" s="130"/>
      <c r="Q1004" s="130"/>
      <c r="R1004" s="130"/>
      <c r="S1004" s="130"/>
      <c r="T1004" s="130"/>
      <c r="U1004" s="130"/>
      <c r="V1004" s="130"/>
    </row>
    <row r="1005" ht="15.75" customHeight="1">
      <c r="O1005" s="130"/>
      <c r="P1005" s="130"/>
      <c r="Q1005" s="130"/>
      <c r="R1005" s="130"/>
      <c r="S1005" s="130"/>
      <c r="T1005" s="130"/>
      <c r="U1005" s="130"/>
      <c r="V1005" s="130"/>
    </row>
    <row r="1006" ht="15.75" customHeight="1">
      <c r="O1006" s="130"/>
      <c r="P1006" s="130"/>
      <c r="Q1006" s="130"/>
      <c r="R1006" s="130"/>
      <c r="S1006" s="130"/>
      <c r="T1006" s="130"/>
      <c r="U1006" s="130"/>
      <c r="V1006" s="130"/>
    </row>
    <row r="1007" ht="15.75" customHeight="1">
      <c r="O1007" s="130"/>
      <c r="P1007" s="130"/>
      <c r="Q1007" s="130"/>
      <c r="R1007" s="130"/>
      <c r="S1007" s="130"/>
      <c r="T1007" s="130"/>
      <c r="U1007" s="130"/>
      <c r="V1007" s="130"/>
    </row>
    <row r="1008" ht="15.75" customHeight="1">
      <c r="O1008" s="130"/>
      <c r="P1008" s="130"/>
      <c r="Q1008" s="130"/>
      <c r="R1008" s="130"/>
      <c r="S1008" s="130"/>
      <c r="T1008" s="130"/>
      <c r="U1008" s="130"/>
      <c r="V1008" s="130"/>
    </row>
    <row r="1009" ht="15.75" customHeight="1">
      <c r="O1009" s="130"/>
      <c r="P1009" s="130"/>
      <c r="Q1009" s="130"/>
      <c r="R1009" s="130"/>
      <c r="S1009" s="130"/>
      <c r="T1009" s="130"/>
      <c r="U1009" s="130"/>
      <c r="V1009" s="130"/>
    </row>
    <row r="1010" ht="15.75" customHeight="1">
      <c r="O1010" s="130"/>
      <c r="P1010" s="130"/>
      <c r="Q1010" s="130"/>
      <c r="R1010" s="130"/>
      <c r="S1010" s="130"/>
      <c r="T1010" s="130"/>
      <c r="U1010" s="130"/>
      <c r="V1010" s="130"/>
    </row>
    <row r="1011" ht="15.75" customHeight="1">
      <c r="O1011" s="130"/>
      <c r="P1011" s="130"/>
      <c r="Q1011" s="130"/>
      <c r="R1011" s="130"/>
      <c r="S1011" s="130"/>
      <c r="T1011" s="130"/>
      <c r="U1011" s="130"/>
      <c r="V1011" s="130"/>
    </row>
  </sheetData>
  <mergeCells count="47">
    <mergeCell ref="I1:L1"/>
    <mergeCell ref="I2:L2"/>
    <mergeCell ref="A3:B3"/>
    <mergeCell ref="E3:F3"/>
    <mergeCell ref="I3:L3"/>
    <mergeCell ref="A4:B4"/>
    <mergeCell ref="I4:L4"/>
    <mergeCell ref="B12:D12"/>
    <mergeCell ref="H12:J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H30:K30"/>
    <mergeCell ref="H31:K31"/>
    <mergeCell ref="H32:K32"/>
    <mergeCell ref="H33:K33"/>
    <mergeCell ref="H35:L36"/>
    <mergeCell ref="H23:L23"/>
    <mergeCell ref="H24:K24"/>
    <mergeCell ref="H25:L25"/>
    <mergeCell ref="H26:K26"/>
    <mergeCell ref="H27:K27"/>
    <mergeCell ref="H28:K28"/>
    <mergeCell ref="H29:K29"/>
    <mergeCell ref="B32:D32"/>
    <mergeCell ref="B33:D33"/>
    <mergeCell ref="B34:D34"/>
    <mergeCell ref="B35:D35"/>
    <mergeCell ref="B36:D36"/>
    <mergeCell ref="A38:L40"/>
    <mergeCell ref="A41:L43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qref="B22">
      <formula1>"Backsplash,Backsplash - 4in,Backsplash - Full height"</formula1>
    </dataValidation>
    <dataValidation type="list" allowBlank="1" sqref="B23">
      <formula1>"Cabinetry,Cabinetry - Lower,Cabinetry - Upper,Cabinetry - Full Height,Cabinetry - Vanity,Cabinetry - Toe Kicks,Cabinetry - Closet Organizer,Cabinetry - Various"</formula1>
    </dataValidation>
    <dataValidation type="list" allowBlank="1" sqref="B17">
      <formula1>"Baseboards,Baseboards - Standard,Baseboards - Large,Baseboards - Inset"</formula1>
    </dataValidation>
    <dataValidation type="list" allowBlank="1" sqref="B24">
      <formula1>"Contents,Contents - Block Furniture,Contents - Small Room,Contents - Medium Room,Contents - Large Room,Contents - XL Room"</formula1>
    </dataValidation>
    <dataValidation type="list" allowBlank="1" sqref="B28">
      <formula1>"Appliances,Oven/Stove,Refrigerator,Microwave,Hood,Dishwasher,Washer/Dryer,Appliances - Various"</formula1>
    </dataValidation>
    <dataValidation type="list" allowBlank="1" showErrorMessage="1" sqref="H3">
      <formula1>"1,2,3,4,5,6,7,8,9"</formula1>
    </dataValidation>
    <dataValidation type="list" allowBlank="1" sqref="B19">
      <formula1>"Drywall,Drywall - Walls,Drywall - Ceiling,Drywall - Walls &amp; Ceiling,Drywall - Test Cut(s),Drywall - Various"</formula1>
    </dataValidation>
    <dataValidation type="list" allowBlank="1" sqref="B21">
      <formula1>"Countertops,Countertops - Solid Surface,Countertops - Laminate,Countertops - Other"</formula1>
    </dataValidation>
    <dataValidation type="list" allowBlank="1" sqref="B13:B14">
      <formula1>"Flooring,Carpet (w/pad),Carpet (Cat 3 w/pad),Carpet - Float,Carpet - Just Padding,Tile,Vinyl - Plank,Vinyl - Sheet,Wood - Laminate,Wood - Engineered,Wood - Hardwood,Flooring - Various"</formula1>
    </dataValidation>
    <dataValidation type="list" allowBlank="1" sqref="B27">
      <formula1>"Plastic Coverings,Cover - Contents,Cover - Light fixture(s),Cover - Various"</formula1>
    </dataValidation>
    <dataValidation type="list" allowBlank="1" sqref="B18">
      <formula1>"Trimwork,Trim - Quarter Round,Trim - Casing,Trim - Door Jamb,Trim - Various"</formula1>
    </dataValidation>
    <dataValidation type="list" allowBlank="1" sqref="B26">
      <formula1>"Containment,Containment - Walls,Containment - Ceiling,Containment - Floor,Containment - Barrier Chamber,Containment - Various"</formula1>
    </dataValidation>
  </dataValidations>
  <printOptions/>
  <pageMargins bottom="0.75" footer="0.0" header="0.0" left="0.25" right="0.25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2" width="8.86"/>
    <col customWidth="1" hidden="1" min="13" max="16" width="6.43"/>
    <col customWidth="1" hidden="1" min="17" max="17" width="22.14"/>
    <col hidden="1" min="18" max="34" width="14.43"/>
    <col customWidth="1" hidden="1" min="35" max="38" width="4.71"/>
    <col hidden="1" min="39" max="43" width="14.43"/>
  </cols>
  <sheetData>
    <row r="1" ht="22.5" customHeight="1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230"/>
      <c r="L1" s="230" t="s">
        <v>246</v>
      </c>
      <c r="U1" s="231"/>
      <c r="V1" s="232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 t="s">
        <v>157</v>
      </c>
      <c r="AN1" s="231" t="s">
        <v>247</v>
      </c>
      <c r="AO1" s="231" t="s">
        <v>248</v>
      </c>
      <c r="AP1" s="231" t="s">
        <v>249</v>
      </c>
      <c r="AQ1" s="25"/>
    </row>
    <row r="2" ht="18.0" customHeight="1">
      <c r="A2" s="233" t="s">
        <v>250</v>
      </c>
      <c r="C2" s="229"/>
      <c r="D2" s="229"/>
      <c r="E2" s="229"/>
      <c r="F2" s="229"/>
      <c r="G2" s="229"/>
      <c r="H2" s="229"/>
      <c r="I2" s="229"/>
      <c r="J2" s="229"/>
      <c r="K2" s="12"/>
      <c r="L2" s="12" t="s">
        <v>24</v>
      </c>
      <c r="U2" s="23"/>
      <c r="V2" s="234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>
        <v>1.0</v>
      </c>
      <c r="AN2" s="23">
        <v>100.0</v>
      </c>
      <c r="AO2" s="231" t="s">
        <v>251</v>
      </c>
      <c r="AP2" s="23">
        <v>80.0</v>
      </c>
      <c r="AQ2" s="23"/>
    </row>
    <row r="3" ht="15.75" customHeight="1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74"/>
      <c r="L3" s="74"/>
      <c r="U3" s="231"/>
      <c r="V3" s="232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">
        <v>2.0</v>
      </c>
      <c r="AN3" s="23">
        <v>50.0</v>
      </c>
      <c r="AO3" s="23">
        <v>7000.0</v>
      </c>
      <c r="AP3" s="231">
        <v>130.0</v>
      </c>
      <c r="AQ3" s="231"/>
    </row>
    <row r="4" ht="15.75" customHeight="1">
      <c r="A4" s="233" t="s">
        <v>252</v>
      </c>
      <c r="C4" s="229"/>
      <c r="D4" s="229"/>
      <c r="E4" s="229"/>
      <c r="F4" s="229"/>
      <c r="G4" s="229"/>
      <c r="H4" s="229"/>
      <c r="I4" s="229"/>
      <c r="J4" s="229"/>
      <c r="K4" s="76"/>
      <c r="L4" s="76"/>
      <c r="V4" s="235"/>
      <c r="AM4" s="23">
        <v>3.0</v>
      </c>
      <c r="AN4" s="23">
        <v>40.0</v>
      </c>
    </row>
    <row r="5" ht="15.75" customHeight="1">
      <c r="A5" s="229"/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V5" s="235"/>
      <c r="AM5" s="23">
        <v>4.0</v>
      </c>
      <c r="AN5" s="23">
        <v>40.0</v>
      </c>
    </row>
    <row r="6" ht="15.75" customHeight="1">
      <c r="V6" s="234">
        <v>1.0</v>
      </c>
      <c r="W6" s="72" t="s">
        <v>157</v>
      </c>
      <c r="X6" s="14"/>
      <c r="Y6" s="71" t="s">
        <v>253</v>
      </c>
      <c r="Z6" s="14"/>
      <c r="AA6" s="236" t="str">
        <f>IF(Y6=1,"5% or less affected w/minimal absorption", if(Y6=2,"5-40% affected w/minimal absorption", if(Y6=3,"&gt; 40% affected w/minimal absorption",if(Y6=4,"Deep absorption",""))))</f>
        <v/>
      </c>
      <c r="AB6" s="14"/>
      <c r="AC6" s="14"/>
      <c r="AD6" s="14"/>
      <c r="AE6" s="14"/>
      <c r="AF6" s="14"/>
      <c r="AG6" s="14"/>
      <c r="AH6" s="15"/>
      <c r="AQ6" s="130" t="s">
        <v>254</v>
      </c>
    </row>
    <row r="7" ht="15.75" customHeight="1">
      <c r="V7" s="234">
        <v>1.0</v>
      </c>
      <c r="W7" s="237" t="s">
        <v>255</v>
      </c>
      <c r="X7" s="68"/>
      <c r="Y7" s="238">
        <f>AQ7</f>
        <v>0</v>
      </c>
      <c r="Z7" s="15"/>
      <c r="AA7" s="239" t="s">
        <v>256</v>
      </c>
      <c r="AB7" s="14"/>
      <c r="AC7" s="14"/>
      <c r="AD7" s="14"/>
      <c r="AE7" s="14"/>
      <c r="AF7" s="14"/>
      <c r="AG7" s="14"/>
      <c r="AH7" s="15"/>
      <c r="AM7" s="23" t="s">
        <v>184</v>
      </c>
      <c r="AN7" s="240">
        <f>sum(Z12:Z14)</f>
        <v>0</v>
      </c>
      <c r="AO7">
        <f>sum(AN7*$AP$2)</f>
        <v>0</v>
      </c>
      <c r="AQ7" s="144">
        <v>0.0</v>
      </c>
    </row>
    <row r="8" ht="15.75" customHeight="1">
      <c r="V8" s="234">
        <v>1.0</v>
      </c>
      <c r="W8" s="241" t="s">
        <v>257</v>
      </c>
      <c r="X8" s="99"/>
      <c r="Y8" s="242">
        <f>AQ9</f>
        <v>0</v>
      </c>
      <c r="AA8" s="243">
        <f>AQ11</f>
        <v>0</v>
      </c>
      <c r="AB8" s="68"/>
      <c r="AC8" s="68"/>
      <c r="AD8" s="68"/>
      <c r="AE8" s="68"/>
      <c r="AF8" s="68"/>
      <c r="AG8" s="68"/>
      <c r="AH8" s="99"/>
      <c r="AM8" s="23" t="s">
        <v>188</v>
      </c>
      <c r="AN8" s="244">
        <f>sum(Z15:Z17)</f>
        <v>0</v>
      </c>
      <c r="AO8">
        <f>sum(AN8*$AP$3)</f>
        <v>0</v>
      </c>
      <c r="AQ8" s="130" t="s">
        <v>258</v>
      </c>
    </row>
    <row r="9" ht="15.75" customHeight="1">
      <c r="V9" s="234">
        <v>1.0</v>
      </c>
      <c r="W9" s="245" t="s">
        <v>259</v>
      </c>
      <c r="X9" s="56"/>
      <c r="Y9" s="246"/>
      <c r="AA9" s="100"/>
      <c r="AH9" s="56"/>
      <c r="AM9" s="23" t="s">
        <v>260</v>
      </c>
      <c r="AN9" s="244">
        <f>sum(AN7:AN8)</f>
        <v>0</v>
      </c>
      <c r="AQ9" s="144">
        <v>0.0</v>
      </c>
    </row>
    <row r="10" ht="15.75" customHeight="1">
      <c r="V10" s="234">
        <v>1.0</v>
      </c>
      <c r="W10" s="247" t="s">
        <v>261</v>
      </c>
      <c r="X10" s="97"/>
      <c r="Y10" s="242">
        <f>sum(Y8+Y9)</f>
        <v>0</v>
      </c>
      <c r="AA10" s="101"/>
      <c r="AB10" s="96"/>
      <c r="AC10" s="96"/>
      <c r="AD10" s="96"/>
      <c r="AE10" s="96"/>
      <c r="AF10" s="96"/>
      <c r="AG10" s="96"/>
      <c r="AH10" s="97"/>
      <c r="AM10" s="23" t="s">
        <v>262</v>
      </c>
      <c r="AN10">
        <f>sum(AO7:AO8)</f>
        <v>0</v>
      </c>
      <c r="AQ10" s="130" t="s">
        <v>263</v>
      </c>
    </row>
    <row r="11" ht="15.75" customHeight="1">
      <c r="V11" s="234">
        <v>1.0</v>
      </c>
      <c r="W11" s="248" t="s">
        <v>264</v>
      </c>
      <c r="X11" s="14"/>
      <c r="Y11" s="249" t="s">
        <v>265</v>
      </c>
      <c r="Z11" s="250" t="s">
        <v>210</v>
      </c>
      <c r="AA11" s="250" t="s">
        <v>211</v>
      </c>
      <c r="AB11" s="249" t="s">
        <v>266</v>
      </c>
      <c r="AC11" s="249" t="s">
        <v>267</v>
      </c>
      <c r="AD11" s="15"/>
      <c r="AE11" s="251"/>
      <c r="AF11" s="235"/>
      <c r="AG11" s="235"/>
      <c r="AH11" s="252"/>
      <c r="AM11" s="23" t="s">
        <v>157</v>
      </c>
      <c r="AN11" t="str">
        <f>if(Y6=1,$AN$2,if(Y6=2,$AN$3,if(Y6=3,$AN$4,if(Y6=4,$AN$5,""))))</f>
        <v/>
      </c>
      <c r="AQ11" s="23">
        <v>0.0</v>
      </c>
    </row>
    <row r="12" ht="15.75" customHeight="1">
      <c r="V12" s="234">
        <v>1.0</v>
      </c>
      <c r="W12" s="253" t="s">
        <v>268</v>
      </c>
      <c r="X12" s="99"/>
      <c r="Y12" s="254"/>
      <c r="Z12" s="255"/>
      <c r="AA12" s="256"/>
      <c r="AB12" s="257"/>
      <c r="AC12" s="258" t="str">
        <f>if(AN10=0,"",if(AN10&lt;AN12,"AHAM Not Met!",if(AN10&gt;AN15,"AHAM Exceeded!","AHAM Correct!")))</f>
        <v/>
      </c>
      <c r="AD12" s="99"/>
      <c r="AE12" s="251"/>
      <c r="AF12" s="235"/>
      <c r="AG12" s="235"/>
      <c r="AH12" s="252"/>
      <c r="AM12" s="23" t="s">
        <v>269</v>
      </c>
      <c r="AN12" t="str">
        <f>sum(Y10/AN11)</f>
        <v>#DIV/0!</v>
      </c>
    </row>
    <row r="13" ht="15.75" customHeight="1">
      <c r="V13" s="234">
        <v>1.0</v>
      </c>
      <c r="W13" s="259" t="s">
        <v>268</v>
      </c>
      <c r="X13" s="260"/>
      <c r="Y13" s="261"/>
      <c r="Z13" s="262"/>
      <c r="AA13" s="263"/>
      <c r="AB13" s="264"/>
      <c r="AC13" s="100"/>
      <c r="AD13" s="56"/>
      <c r="AE13" s="251"/>
      <c r="AF13" s="235"/>
      <c r="AG13" s="235"/>
      <c r="AH13" s="252"/>
      <c r="AM13" s="23" t="s">
        <v>270</v>
      </c>
      <c r="AN13" s="265" t="str">
        <f>sum(AN12/AN10)</f>
        <v>#DIV/0!</v>
      </c>
    </row>
    <row r="14" ht="15.75" customHeight="1">
      <c r="V14" s="234">
        <v>1.0</v>
      </c>
      <c r="W14" s="266" t="s">
        <v>268</v>
      </c>
      <c r="X14" s="260"/>
      <c r="Y14" s="267"/>
      <c r="Z14" s="268"/>
      <c r="AA14" s="269"/>
      <c r="AB14" s="270"/>
      <c r="AC14" s="100"/>
      <c r="AD14" s="56"/>
      <c r="AE14" s="251"/>
      <c r="AF14" s="235"/>
      <c r="AG14" s="235"/>
      <c r="AH14" s="252"/>
      <c r="AM14" s="130"/>
      <c r="AN14" s="144"/>
    </row>
    <row r="15" ht="15.75" customHeight="1">
      <c r="V15" s="234">
        <v>1.0</v>
      </c>
      <c r="W15" s="271" t="s">
        <v>271</v>
      </c>
      <c r="X15" s="260"/>
      <c r="Y15" s="261"/>
      <c r="Z15" s="262"/>
      <c r="AA15" s="263"/>
      <c r="AB15" s="264"/>
      <c r="AC15" s="100"/>
      <c r="AD15" s="56"/>
      <c r="AE15" s="251"/>
      <c r="AF15" s="235"/>
      <c r="AG15" s="235"/>
      <c r="AH15" s="252"/>
      <c r="AM15" s="130" t="s">
        <v>218</v>
      </c>
      <c r="AN15" s="144" t="str">
        <f>sum(AN12+AN16)</f>
        <v>#DIV/0!</v>
      </c>
    </row>
    <row r="16" ht="15.75" customHeight="1">
      <c r="V16" s="234">
        <v>1.0</v>
      </c>
      <c r="W16" s="266" t="s">
        <v>271</v>
      </c>
      <c r="X16" s="260"/>
      <c r="Y16" s="267"/>
      <c r="Z16" s="268"/>
      <c r="AA16" s="269"/>
      <c r="AB16" s="270"/>
      <c r="AC16" s="100"/>
      <c r="AD16" s="56"/>
      <c r="AE16" s="251"/>
      <c r="AF16" s="235"/>
      <c r="AG16" s="235"/>
      <c r="AH16" s="252"/>
      <c r="AM16" s="130" t="s">
        <v>220</v>
      </c>
      <c r="AN16" s="144">
        <f>if(AN7&gt;0,$AP$2,$AP$3)</f>
        <v>130</v>
      </c>
    </row>
    <row r="17" ht="15.75" customHeight="1">
      <c r="V17" s="234">
        <v>1.0</v>
      </c>
      <c r="W17" s="272" t="s">
        <v>271</v>
      </c>
      <c r="X17" s="56"/>
      <c r="Y17" s="273"/>
      <c r="Z17" s="274"/>
      <c r="AA17" s="275"/>
      <c r="AB17" s="276"/>
      <c r="AC17" s="101"/>
      <c r="AD17" s="97"/>
      <c r="AE17" s="251"/>
      <c r="AF17" s="235"/>
      <c r="AG17" s="235"/>
      <c r="AH17" s="252"/>
    </row>
    <row r="18" ht="15.75" customHeight="1">
      <c r="V18" s="234">
        <v>1.0</v>
      </c>
      <c r="W18" s="277" t="s">
        <v>272</v>
      </c>
      <c r="X18" s="14"/>
      <c r="Y18" s="249" t="s">
        <v>265</v>
      </c>
      <c r="Z18" s="250" t="s">
        <v>210</v>
      </c>
      <c r="AA18" s="250" t="s">
        <v>211</v>
      </c>
      <c r="AB18" s="249" t="s">
        <v>266</v>
      </c>
      <c r="AC18" s="249" t="s">
        <v>273</v>
      </c>
      <c r="AD18" s="15"/>
      <c r="AE18" s="251"/>
      <c r="AF18" s="235"/>
      <c r="AG18" s="235"/>
      <c r="AH18" s="252"/>
      <c r="AM18" s="23" t="s">
        <v>274</v>
      </c>
      <c r="AN18" s="23">
        <v>4.0</v>
      </c>
      <c r="AO18" s="23">
        <v>60.0</v>
      </c>
      <c r="AP18" s="265">
        <f>sum(Y10/AO18)*AN18</f>
        <v>0</v>
      </c>
    </row>
    <row r="19" ht="15.75" customHeight="1">
      <c r="V19" s="234">
        <v>1.0</v>
      </c>
      <c r="W19" s="253" t="s">
        <v>275</v>
      </c>
      <c r="X19" s="99"/>
      <c r="Y19" s="278"/>
      <c r="Z19" s="279"/>
      <c r="AA19" s="280"/>
      <c r="AB19" s="281"/>
      <c r="AC19" s="282">
        <f>sum(AN20)</f>
        <v>0</v>
      </c>
      <c r="AD19" s="99"/>
      <c r="AE19" s="251"/>
      <c r="AF19" s="235"/>
      <c r="AG19" s="235"/>
      <c r="AH19" s="252"/>
      <c r="AM19" s="23" t="s">
        <v>276</v>
      </c>
      <c r="AN19" s="23">
        <v>500.0</v>
      </c>
    </row>
    <row r="20" ht="15.75" customHeight="1">
      <c r="V20" s="234">
        <v>1.0</v>
      </c>
      <c r="W20" s="272" t="s">
        <v>275</v>
      </c>
      <c r="X20" s="56"/>
      <c r="Y20" s="283"/>
      <c r="Z20" s="284"/>
      <c r="AA20" s="285"/>
      <c r="AB20" s="286"/>
      <c r="AC20" s="100"/>
      <c r="AD20" s="56"/>
      <c r="AE20" s="251"/>
      <c r="AF20" s="235"/>
      <c r="AG20" s="235"/>
      <c r="AH20" s="252"/>
      <c r="AM20" s="23" t="s">
        <v>277</v>
      </c>
      <c r="AN20">
        <f>roundup(AO20,0)</f>
        <v>0</v>
      </c>
      <c r="AO20">
        <f>sum(AP18/AN19)</f>
        <v>0</v>
      </c>
    </row>
    <row r="21" ht="15.75" customHeight="1">
      <c r="V21" s="234">
        <v>1.0</v>
      </c>
      <c r="W21" s="21" t="s">
        <v>278</v>
      </c>
      <c r="X21" s="15"/>
      <c r="Y21" s="20" t="s">
        <v>174</v>
      </c>
      <c r="Z21" s="20" t="s">
        <v>175</v>
      </c>
      <c r="AA21" s="20" t="s">
        <v>176</v>
      </c>
      <c r="AB21" s="20" t="s">
        <v>177</v>
      </c>
      <c r="AC21" s="20" t="s">
        <v>178</v>
      </c>
      <c r="AD21" s="287" t="s">
        <v>179</v>
      </c>
      <c r="AE21" s="287" t="s">
        <v>180</v>
      </c>
      <c r="AF21" s="287" t="s">
        <v>279</v>
      </c>
      <c r="AG21" s="287" t="s">
        <v>280</v>
      </c>
      <c r="AH21" s="287" t="s">
        <v>183</v>
      </c>
    </row>
    <row r="22" ht="15.75" customHeight="1">
      <c r="V22" s="234">
        <v>1.0</v>
      </c>
      <c r="W22" s="21" t="s">
        <v>281</v>
      </c>
      <c r="X22" s="15"/>
      <c r="Y22" s="254"/>
      <c r="Z22" s="150"/>
      <c r="AA22" s="150"/>
      <c r="AB22" s="150"/>
      <c r="AC22" s="150"/>
      <c r="AD22" s="150"/>
      <c r="AE22" s="150"/>
      <c r="AF22" s="151"/>
      <c r="AG22" s="150"/>
      <c r="AH22" s="152"/>
    </row>
    <row r="23">
      <c r="V23" s="234">
        <v>1.0</v>
      </c>
      <c r="W23" s="21" t="s">
        <v>282</v>
      </c>
      <c r="X23" s="15"/>
      <c r="Y23" s="261"/>
      <c r="Z23" s="288"/>
      <c r="AA23" s="288"/>
      <c r="AB23" s="288"/>
      <c r="AC23" s="288"/>
      <c r="AD23" s="288"/>
      <c r="AE23" s="288"/>
      <c r="AF23" s="289"/>
      <c r="AG23" s="288"/>
      <c r="AH23" s="290"/>
    </row>
    <row r="24">
      <c r="V24" s="234">
        <v>1.0</v>
      </c>
      <c r="W24" s="21" t="s">
        <v>283</v>
      </c>
      <c r="X24" s="15"/>
      <c r="Y24" s="267"/>
      <c r="Z24" s="161"/>
      <c r="AA24" s="161"/>
      <c r="AB24" s="161"/>
      <c r="AC24" s="161"/>
      <c r="AD24" s="161"/>
      <c r="AE24" s="161"/>
      <c r="AF24" s="162"/>
      <c r="AG24" s="161"/>
      <c r="AH24" s="163"/>
    </row>
    <row r="25">
      <c r="V25" s="234">
        <v>1.0</v>
      </c>
      <c r="W25" s="21" t="s">
        <v>284</v>
      </c>
      <c r="X25" s="15"/>
      <c r="Y25" s="273"/>
      <c r="Z25" s="291"/>
      <c r="AA25" s="291"/>
      <c r="AB25" s="291"/>
      <c r="AC25" s="291"/>
      <c r="AD25" s="291"/>
      <c r="AE25" s="291"/>
      <c r="AF25" s="292"/>
      <c r="AG25" s="291"/>
      <c r="AH25" s="293"/>
    </row>
    <row r="26">
      <c r="V26" s="234">
        <v>1.0</v>
      </c>
      <c r="W26" s="95" t="s">
        <v>75</v>
      </c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7"/>
    </row>
    <row r="27">
      <c r="V27" s="234">
        <v>1.0</v>
      </c>
      <c r="W27" s="9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99"/>
    </row>
    <row r="28">
      <c r="V28" s="234">
        <v>1.0</v>
      </c>
      <c r="W28" s="100"/>
      <c r="AH28" s="56"/>
    </row>
    <row r="29">
      <c r="V29" s="234">
        <v>1.0</v>
      </c>
      <c r="W29" s="101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7"/>
    </row>
    <row r="30">
      <c r="V30" s="294"/>
    </row>
    <row r="31">
      <c r="V31" s="294"/>
    </row>
    <row r="32">
      <c r="V32" s="235"/>
    </row>
    <row r="33">
      <c r="V33" s="235"/>
    </row>
    <row r="34">
      <c r="V34" s="235"/>
    </row>
    <row r="35">
      <c r="V35" s="235"/>
    </row>
    <row r="36">
      <c r="V36" s="235"/>
    </row>
    <row r="37">
      <c r="V37" s="235"/>
    </row>
    <row r="38">
      <c r="V38" s="235"/>
    </row>
    <row r="39">
      <c r="V39" s="235"/>
    </row>
    <row r="40">
      <c r="V40" s="235"/>
    </row>
    <row r="41">
      <c r="V41" s="235"/>
    </row>
    <row r="42">
      <c r="V42" s="235"/>
    </row>
    <row r="43">
      <c r="V43" s="235"/>
    </row>
    <row r="44">
      <c r="V44" s="235"/>
    </row>
    <row r="45">
      <c r="V45" s="235"/>
    </row>
    <row r="46">
      <c r="V46" s="235"/>
    </row>
    <row r="47">
      <c r="V47" s="235"/>
    </row>
    <row r="48">
      <c r="V48" s="235"/>
    </row>
    <row r="49">
      <c r="V49" s="235"/>
    </row>
    <row r="50">
      <c r="V50" s="235"/>
    </row>
    <row r="51">
      <c r="V51" s="235"/>
    </row>
    <row r="52">
      <c r="V52" s="235"/>
    </row>
    <row r="53">
      <c r="V53" s="235"/>
    </row>
    <row r="54">
      <c r="V54" s="235"/>
    </row>
    <row r="55">
      <c r="V55" s="235"/>
    </row>
    <row r="56">
      <c r="V56" s="235"/>
    </row>
    <row r="57">
      <c r="V57" s="235"/>
    </row>
    <row r="58">
      <c r="V58" s="235"/>
    </row>
    <row r="59">
      <c r="V59" s="235"/>
    </row>
    <row r="60">
      <c r="V60" s="235"/>
    </row>
    <row r="61">
      <c r="V61" s="235"/>
    </row>
    <row r="62">
      <c r="V62" s="235"/>
    </row>
    <row r="63">
      <c r="V63" s="235"/>
    </row>
    <row r="64">
      <c r="V64" s="235"/>
    </row>
    <row r="65">
      <c r="V65" s="235"/>
    </row>
    <row r="66">
      <c r="V66" s="235"/>
    </row>
    <row r="67">
      <c r="V67" s="235"/>
    </row>
    <row r="68">
      <c r="V68" s="235"/>
    </row>
    <row r="69">
      <c r="V69" s="235"/>
    </row>
    <row r="70">
      <c r="V70" s="235"/>
    </row>
    <row r="71">
      <c r="V71" s="235"/>
    </row>
    <row r="72">
      <c r="V72" s="235"/>
    </row>
    <row r="73">
      <c r="V73" s="235"/>
    </row>
    <row r="74">
      <c r="V74" s="235"/>
    </row>
    <row r="75">
      <c r="V75" s="235"/>
    </row>
    <row r="76">
      <c r="V76" s="235"/>
    </row>
    <row r="77">
      <c r="V77" s="235"/>
    </row>
    <row r="78">
      <c r="V78" s="235"/>
    </row>
    <row r="79">
      <c r="V79" s="235"/>
    </row>
    <row r="80">
      <c r="V80" s="235"/>
    </row>
    <row r="81">
      <c r="V81" s="235"/>
    </row>
    <row r="82">
      <c r="V82" s="235"/>
    </row>
    <row r="83">
      <c r="V83" s="235"/>
    </row>
    <row r="84">
      <c r="V84" s="235"/>
    </row>
    <row r="85">
      <c r="V85" s="235"/>
    </row>
    <row r="86">
      <c r="V86" s="235"/>
    </row>
    <row r="87">
      <c r="V87" s="235"/>
    </row>
    <row r="88">
      <c r="V88" s="235"/>
    </row>
    <row r="89">
      <c r="V89" s="235"/>
    </row>
    <row r="90">
      <c r="V90" s="235"/>
    </row>
    <row r="91">
      <c r="V91" s="235"/>
    </row>
    <row r="92">
      <c r="V92" s="235"/>
    </row>
    <row r="93">
      <c r="V93" s="235"/>
    </row>
    <row r="94">
      <c r="V94" s="235"/>
    </row>
    <row r="95">
      <c r="V95" s="235"/>
    </row>
    <row r="96">
      <c r="V96" s="235"/>
    </row>
    <row r="97">
      <c r="V97" s="235"/>
    </row>
    <row r="98">
      <c r="V98" s="235"/>
    </row>
    <row r="99">
      <c r="V99" s="235"/>
    </row>
    <row r="100">
      <c r="V100" s="235"/>
    </row>
    <row r="101">
      <c r="V101" s="235"/>
    </row>
    <row r="102">
      <c r="V102" s="235"/>
    </row>
    <row r="103">
      <c r="V103" s="235"/>
    </row>
    <row r="104">
      <c r="V104" s="235"/>
    </row>
    <row r="105">
      <c r="V105" s="235"/>
    </row>
    <row r="106">
      <c r="V106" s="235"/>
    </row>
    <row r="107">
      <c r="V107" s="235"/>
    </row>
    <row r="108">
      <c r="V108" s="235"/>
    </row>
    <row r="109">
      <c r="V109" s="235"/>
    </row>
    <row r="110">
      <c r="V110" s="235"/>
    </row>
    <row r="111">
      <c r="V111" s="235"/>
    </row>
    <row r="112">
      <c r="V112" s="235"/>
    </row>
    <row r="113">
      <c r="V113" s="235"/>
    </row>
    <row r="114">
      <c r="V114" s="235"/>
    </row>
    <row r="115">
      <c r="V115" s="235"/>
    </row>
    <row r="116">
      <c r="V116" s="235"/>
    </row>
    <row r="117">
      <c r="V117" s="235"/>
    </row>
    <row r="118">
      <c r="V118" s="235"/>
    </row>
    <row r="119">
      <c r="V119" s="235"/>
    </row>
    <row r="120">
      <c r="V120" s="235"/>
    </row>
    <row r="121">
      <c r="V121" s="235"/>
    </row>
    <row r="122">
      <c r="V122" s="235"/>
    </row>
    <row r="123">
      <c r="V123" s="235"/>
    </row>
    <row r="124">
      <c r="V124" s="235"/>
    </row>
    <row r="125">
      <c r="V125" s="235"/>
    </row>
    <row r="126">
      <c r="V126" s="235"/>
    </row>
    <row r="127">
      <c r="V127" s="235"/>
    </row>
    <row r="128">
      <c r="V128" s="235"/>
    </row>
    <row r="129">
      <c r="V129" s="235"/>
    </row>
    <row r="130">
      <c r="V130" s="235"/>
    </row>
    <row r="131">
      <c r="V131" s="235"/>
    </row>
    <row r="132">
      <c r="V132" s="235"/>
    </row>
    <row r="133">
      <c r="V133" s="235"/>
    </row>
    <row r="134">
      <c r="V134" s="235"/>
    </row>
    <row r="135">
      <c r="V135" s="235"/>
    </row>
    <row r="136">
      <c r="V136" s="235"/>
    </row>
    <row r="137">
      <c r="V137" s="235"/>
    </row>
    <row r="138">
      <c r="V138" s="235"/>
    </row>
    <row r="139">
      <c r="V139" s="235"/>
    </row>
    <row r="140">
      <c r="V140" s="235"/>
    </row>
    <row r="141">
      <c r="V141" s="235"/>
    </row>
    <row r="142">
      <c r="V142" s="235"/>
    </row>
    <row r="143">
      <c r="V143" s="235"/>
    </row>
    <row r="144">
      <c r="V144" s="235"/>
    </row>
    <row r="145">
      <c r="V145" s="235"/>
    </row>
    <row r="146">
      <c r="V146" s="235"/>
    </row>
    <row r="147">
      <c r="V147" s="235"/>
    </row>
    <row r="148">
      <c r="V148" s="235"/>
    </row>
    <row r="149">
      <c r="V149" s="235"/>
    </row>
    <row r="150">
      <c r="V150" s="235"/>
    </row>
    <row r="151">
      <c r="V151" s="235"/>
    </row>
    <row r="152">
      <c r="V152" s="235"/>
    </row>
    <row r="153">
      <c r="V153" s="235"/>
    </row>
    <row r="154">
      <c r="V154" s="235"/>
    </row>
    <row r="155">
      <c r="V155" s="235"/>
    </row>
    <row r="156">
      <c r="V156" s="235"/>
    </row>
    <row r="157">
      <c r="V157" s="235"/>
    </row>
    <row r="158">
      <c r="V158" s="235"/>
    </row>
    <row r="159">
      <c r="V159" s="235"/>
    </row>
    <row r="160">
      <c r="V160" s="235"/>
    </row>
    <row r="161">
      <c r="V161" s="235"/>
    </row>
    <row r="162">
      <c r="V162" s="235"/>
    </row>
    <row r="163">
      <c r="V163" s="235"/>
    </row>
    <row r="164">
      <c r="V164" s="235"/>
    </row>
    <row r="165">
      <c r="V165" s="235"/>
    </row>
    <row r="166">
      <c r="V166" s="235"/>
    </row>
    <row r="167">
      <c r="V167" s="235"/>
    </row>
    <row r="168">
      <c r="V168" s="235"/>
    </row>
    <row r="169">
      <c r="V169" s="235"/>
    </row>
    <row r="170">
      <c r="V170" s="235"/>
    </row>
    <row r="171">
      <c r="V171" s="235"/>
    </row>
    <row r="172">
      <c r="V172" s="235"/>
    </row>
    <row r="173">
      <c r="V173" s="235"/>
    </row>
    <row r="174">
      <c r="V174" s="235"/>
    </row>
    <row r="175">
      <c r="V175" s="235"/>
    </row>
    <row r="176">
      <c r="V176" s="235"/>
    </row>
    <row r="177">
      <c r="V177" s="235"/>
    </row>
    <row r="178">
      <c r="V178" s="235"/>
    </row>
    <row r="179">
      <c r="V179" s="235"/>
    </row>
    <row r="180">
      <c r="V180" s="235"/>
    </row>
    <row r="181">
      <c r="V181" s="235"/>
    </row>
    <row r="182">
      <c r="V182" s="235"/>
    </row>
    <row r="183">
      <c r="V183" s="235"/>
    </row>
    <row r="184">
      <c r="V184" s="235"/>
    </row>
    <row r="185">
      <c r="V185" s="235"/>
    </row>
    <row r="186">
      <c r="V186" s="235"/>
    </row>
    <row r="187">
      <c r="V187" s="235"/>
    </row>
    <row r="188">
      <c r="V188" s="235"/>
    </row>
    <row r="189">
      <c r="V189" s="235"/>
    </row>
    <row r="190">
      <c r="V190" s="235"/>
    </row>
    <row r="191">
      <c r="V191" s="235"/>
    </row>
    <row r="192">
      <c r="V192" s="235"/>
    </row>
    <row r="193">
      <c r="V193" s="235"/>
    </row>
    <row r="194">
      <c r="V194" s="235"/>
    </row>
    <row r="195">
      <c r="V195" s="235"/>
    </row>
    <row r="196">
      <c r="V196" s="235"/>
    </row>
    <row r="197">
      <c r="V197" s="235"/>
    </row>
    <row r="198">
      <c r="V198" s="235"/>
    </row>
    <row r="199">
      <c r="V199" s="235"/>
    </row>
    <row r="200">
      <c r="V200" s="235"/>
    </row>
    <row r="201">
      <c r="V201" s="235"/>
    </row>
    <row r="202">
      <c r="V202" s="235"/>
    </row>
    <row r="203">
      <c r="V203" s="235"/>
    </row>
    <row r="204">
      <c r="V204" s="235"/>
    </row>
    <row r="205">
      <c r="V205" s="235"/>
    </row>
    <row r="206">
      <c r="V206" s="235"/>
    </row>
    <row r="207">
      <c r="V207" s="235"/>
    </row>
    <row r="208">
      <c r="V208" s="235"/>
    </row>
    <row r="209">
      <c r="V209" s="235"/>
    </row>
    <row r="210">
      <c r="V210" s="235"/>
    </row>
    <row r="211">
      <c r="V211" s="235"/>
    </row>
    <row r="212">
      <c r="V212" s="235"/>
    </row>
    <row r="213">
      <c r="V213" s="235"/>
    </row>
    <row r="214">
      <c r="V214" s="235"/>
    </row>
    <row r="215">
      <c r="V215" s="235"/>
    </row>
    <row r="216">
      <c r="V216" s="235"/>
    </row>
    <row r="217">
      <c r="V217" s="235"/>
    </row>
    <row r="218">
      <c r="V218" s="235"/>
    </row>
    <row r="219">
      <c r="V219" s="235"/>
    </row>
    <row r="220">
      <c r="V220" s="235"/>
    </row>
    <row r="221">
      <c r="V221" s="235"/>
    </row>
    <row r="222">
      <c r="V222" s="235"/>
    </row>
    <row r="223">
      <c r="V223" s="235"/>
    </row>
    <row r="224">
      <c r="V224" s="235"/>
    </row>
    <row r="225">
      <c r="V225" s="235"/>
    </row>
    <row r="226">
      <c r="V226" s="235"/>
    </row>
    <row r="227">
      <c r="V227" s="235"/>
    </row>
    <row r="228">
      <c r="V228" s="235"/>
    </row>
    <row r="229">
      <c r="V229" s="235"/>
    </row>
    <row r="230">
      <c r="V230" s="235"/>
    </row>
    <row r="231">
      <c r="V231" s="235"/>
    </row>
    <row r="232">
      <c r="V232" s="235"/>
    </row>
    <row r="233">
      <c r="V233" s="235"/>
    </row>
    <row r="234">
      <c r="V234" s="235"/>
    </row>
    <row r="235">
      <c r="V235" s="235"/>
    </row>
    <row r="236">
      <c r="V236" s="235"/>
    </row>
    <row r="237">
      <c r="V237" s="235"/>
    </row>
    <row r="238">
      <c r="V238" s="235"/>
    </row>
    <row r="239">
      <c r="V239" s="235"/>
    </row>
    <row r="240">
      <c r="V240" s="235"/>
    </row>
    <row r="241">
      <c r="V241" s="235"/>
    </row>
    <row r="242">
      <c r="V242" s="235"/>
    </row>
    <row r="243">
      <c r="V243" s="235"/>
    </row>
    <row r="244">
      <c r="V244" s="235"/>
    </row>
    <row r="245">
      <c r="V245" s="235"/>
    </row>
    <row r="246">
      <c r="V246" s="235"/>
    </row>
    <row r="247">
      <c r="V247" s="235"/>
    </row>
    <row r="248">
      <c r="V248" s="235"/>
    </row>
    <row r="249">
      <c r="V249" s="235"/>
    </row>
    <row r="250">
      <c r="V250" s="235"/>
    </row>
    <row r="251">
      <c r="V251" s="235"/>
    </row>
    <row r="252">
      <c r="V252" s="235"/>
    </row>
    <row r="253">
      <c r="V253" s="235"/>
    </row>
    <row r="254">
      <c r="V254" s="235"/>
    </row>
    <row r="255">
      <c r="V255" s="235"/>
    </row>
    <row r="256">
      <c r="V256" s="235"/>
    </row>
    <row r="257">
      <c r="V257" s="235"/>
    </row>
    <row r="258">
      <c r="V258" s="235"/>
    </row>
    <row r="259">
      <c r="V259" s="235"/>
    </row>
    <row r="260">
      <c r="V260" s="235"/>
    </row>
    <row r="261">
      <c r="V261" s="235"/>
    </row>
    <row r="262">
      <c r="V262" s="235"/>
    </row>
    <row r="263">
      <c r="V263" s="235"/>
    </row>
    <row r="264">
      <c r="V264" s="235"/>
    </row>
    <row r="265">
      <c r="V265" s="235"/>
    </row>
    <row r="266">
      <c r="V266" s="235"/>
    </row>
    <row r="267">
      <c r="V267" s="235"/>
    </row>
    <row r="268">
      <c r="V268" s="235"/>
    </row>
    <row r="269">
      <c r="V269" s="235"/>
    </row>
    <row r="270">
      <c r="V270" s="235"/>
    </row>
    <row r="271">
      <c r="V271" s="235"/>
    </row>
    <row r="272">
      <c r="V272" s="235"/>
    </row>
    <row r="273">
      <c r="V273" s="235"/>
    </row>
    <row r="274">
      <c r="V274" s="235"/>
    </row>
    <row r="275">
      <c r="V275" s="235"/>
    </row>
    <row r="276">
      <c r="V276" s="235"/>
    </row>
    <row r="277">
      <c r="V277" s="235"/>
    </row>
    <row r="278">
      <c r="V278" s="235"/>
    </row>
    <row r="279">
      <c r="V279" s="235"/>
    </row>
    <row r="280">
      <c r="V280" s="235"/>
    </row>
    <row r="281">
      <c r="V281" s="235"/>
    </row>
    <row r="282">
      <c r="V282" s="235"/>
    </row>
    <row r="283">
      <c r="V283" s="235"/>
    </row>
    <row r="284">
      <c r="V284" s="235"/>
    </row>
    <row r="285">
      <c r="V285" s="235"/>
    </row>
    <row r="286">
      <c r="V286" s="235"/>
    </row>
    <row r="287">
      <c r="V287" s="235"/>
    </row>
    <row r="288">
      <c r="V288" s="235"/>
    </row>
    <row r="289">
      <c r="V289" s="235"/>
    </row>
    <row r="290">
      <c r="V290" s="235"/>
    </row>
    <row r="291">
      <c r="V291" s="235"/>
    </row>
    <row r="292">
      <c r="V292" s="235"/>
    </row>
    <row r="293">
      <c r="V293" s="235"/>
    </row>
    <row r="294">
      <c r="V294" s="235"/>
    </row>
    <row r="295">
      <c r="V295" s="235"/>
    </row>
    <row r="296">
      <c r="V296" s="235"/>
    </row>
    <row r="297">
      <c r="V297" s="235"/>
    </row>
    <row r="298">
      <c r="V298" s="235"/>
    </row>
    <row r="299">
      <c r="V299" s="235"/>
    </row>
    <row r="300">
      <c r="V300" s="235"/>
    </row>
    <row r="301">
      <c r="V301" s="235"/>
    </row>
    <row r="302">
      <c r="V302" s="235"/>
    </row>
    <row r="303">
      <c r="V303" s="235"/>
    </row>
    <row r="304">
      <c r="V304" s="235"/>
    </row>
    <row r="305">
      <c r="V305" s="235"/>
    </row>
    <row r="306">
      <c r="V306" s="235"/>
    </row>
    <row r="307">
      <c r="V307" s="235"/>
    </row>
    <row r="308">
      <c r="V308" s="235"/>
    </row>
    <row r="309">
      <c r="V309" s="235"/>
    </row>
    <row r="310">
      <c r="V310" s="235"/>
    </row>
    <row r="311">
      <c r="V311" s="235"/>
    </row>
    <row r="312">
      <c r="V312" s="235"/>
    </row>
    <row r="313">
      <c r="V313" s="235"/>
    </row>
    <row r="314">
      <c r="V314" s="235"/>
    </row>
    <row r="315">
      <c r="V315" s="235"/>
    </row>
    <row r="316">
      <c r="V316" s="235"/>
    </row>
    <row r="317">
      <c r="V317" s="235"/>
    </row>
    <row r="318">
      <c r="V318" s="235"/>
    </row>
    <row r="319">
      <c r="V319" s="235"/>
    </row>
    <row r="320">
      <c r="V320" s="235"/>
    </row>
    <row r="321">
      <c r="V321" s="235"/>
    </row>
    <row r="322">
      <c r="V322" s="235"/>
    </row>
    <row r="323">
      <c r="V323" s="235"/>
    </row>
    <row r="324">
      <c r="V324" s="235"/>
    </row>
    <row r="325">
      <c r="V325" s="235"/>
    </row>
    <row r="326">
      <c r="V326" s="235"/>
    </row>
    <row r="327">
      <c r="V327" s="235"/>
    </row>
    <row r="328">
      <c r="V328" s="235"/>
    </row>
    <row r="329">
      <c r="V329" s="235"/>
    </row>
    <row r="330">
      <c r="V330" s="235"/>
    </row>
    <row r="331">
      <c r="V331" s="235"/>
    </row>
    <row r="332">
      <c r="V332" s="235"/>
    </row>
    <row r="333">
      <c r="V333" s="235"/>
    </row>
    <row r="334">
      <c r="V334" s="235"/>
    </row>
    <row r="335">
      <c r="V335" s="235"/>
    </row>
    <row r="336">
      <c r="V336" s="235"/>
    </row>
    <row r="337">
      <c r="V337" s="235"/>
    </row>
    <row r="338">
      <c r="V338" s="235"/>
    </row>
    <row r="339">
      <c r="V339" s="235"/>
    </row>
    <row r="340">
      <c r="V340" s="235"/>
    </row>
    <row r="341">
      <c r="V341" s="235"/>
    </row>
    <row r="342">
      <c r="V342" s="235"/>
    </row>
    <row r="343">
      <c r="V343" s="235"/>
    </row>
    <row r="344">
      <c r="V344" s="235"/>
    </row>
    <row r="345">
      <c r="V345" s="235"/>
    </row>
    <row r="346">
      <c r="V346" s="235"/>
    </row>
    <row r="347">
      <c r="V347" s="235"/>
    </row>
    <row r="348">
      <c r="V348" s="235"/>
    </row>
    <row r="349">
      <c r="V349" s="235"/>
    </row>
    <row r="350">
      <c r="V350" s="235"/>
    </row>
    <row r="351">
      <c r="V351" s="235"/>
    </row>
    <row r="352">
      <c r="V352" s="235"/>
    </row>
    <row r="353">
      <c r="V353" s="235"/>
    </row>
    <row r="354">
      <c r="V354" s="235"/>
    </row>
    <row r="355">
      <c r="V355" s="235"/>
    </row>
    <row r="356">
      <c r="V356" s="235"/>
    </row>
    <row r="357">
      <c r="V357" s="235"/>
    </row>
    <row r="358">
      <c r="V358" s="235"/>
    </row>
    <row r="359">
      <c r="V359" s="235"/>
    </row>
    <row r="360">
      <c r="V360" s="235"/>
    </row>
    <row r="361">
      <c r="V361" s="235"/>
    </row>
    <row r="362">
      <c r="V362" s="235"/>
    </row>
    <row r="363">
      <c r="V363" s="235"/>
    </row>
    <row r="364">
      <c r="V364" s="235"/>
    </row>
    <row r="365">
      <c r="V365" s="235"/>
    </row>
    <row r="366">
      <c r="V366" s="235"/>
    </row>
    <row r="367">
      <c r="V367" s="235"/>
    </row>
    <row r="368">
      <c r="V368" s="235"/>
    </row>
    <row r="369">
      <c r="V369" s="235"/>
    </row>
    <row r="370">
      <c r="V370" s="235"/>
    </row>
    <row r="371">
      <c r="V371" s="235"/>
    </row>
    <row r="372">
      <c r="V372" s="235"/>
    </row>
    <row r="373">
      <c r="V373" s="235"/>
    </row>
    <row r="374">
      <c r="V374" s="235"/>
    </row>
    <row r="375">
      <c r="V375" s="235"/>
    </row>
    <row r="376">
      <c r="V376" s="235"/>
    </row>
    <row r="377">
      <c r="V377" s="235"/>
    </row>
    <row r="378">
      <c r="V378" s="235"/>
    </row>
    <row r="379">
      <c r="V379" s="235"/>
    </row>
    <row r="380">
      <c r="V380" s="235"/>
    </row>
    <row r="381">
      <c r="V381" s="235"/>
    </row>
    <row r="382">
      <c r="V382" s="235"/>
    </row>
    <row r="383">
      <c r="V383" s="235"/>
    </row>
    <row r="384">
      <c r="V384" s="235"/>
    </row>
    <row r="385">
      <c r="V385" s="235"/>
    </row>
    <row r="386">
      <c r="V386" s="235"/>
    </row>
    <row r="387">
      <c r="V387" s="235"/>
    </row>
    <row r="388">
      <c r="V388" s="235"/>
    </row>
    <row r="389">
      <c r="V389" s="235"/>
    </row>
    <row r="390">
      <c r="V390" s="235"/>
    </row>
    <row r="391">
      <c r="V391" s="235"/>
    </row>
    <row r="392">
      <c r="V392" s="235"/>
    </row>
    <row r="393">
      <c r="V393" s="235"/>
    </row>
    <row r="394">
      <c r="V394" s="235"/>
    </row>
    <row r="395">
      <c r="V395" s="235"/>
    </row>
    <row r="396">
      <c r="V396" s="235"/>
    </row>
    <row r="397">
      <c r="V397" s="235"/>
    </row>
    <row r="398">
      <c r="V398" s="235"/>
    </row>
    <row r="399">
      <c r="V399" s="235"/>
    </row>
    <row r="400">
      <c r="V400" s="235"/>
    </row>
    <row r="401">
      <c r="V401" s="235"/>
    </row>
    <row r="402">
      <c r="V402" s="235"/>
    </row>
    <row r="403">
      <c r="V403" s="235"/>
    </row>
    <row r="404">
      <c r="V404" s="235"/>
    </row>
    <row r="405">
      <c r="V405" s="235"/>
    </row>
    <row r="406">
      <c r="V406" s="235"/>
    </row>
    <row r="407">
      <c r="V407" s="235"/>
    </row>
    <row r="408">
      <c r="V408" s="235"/>
    </row>
    <row r="409">
      <c r="V409" s="235"/>
    </row>
    <row r="410">
      <c r="V410" s="235"/>
    </row>
    <row r="411">
      <c r="V411" s="235"/>
    </row>
    <row r="412">
      <c r="V412" s="235"/>
    </row>
    <row r="413">
      <c r="V413" s="235"/>
    </row>
    <row r="414">
      <c r="V414" s="235"/>
    </row>
    <row r="415">
      <c r="V415" s="235"/>
    </row>
    <row r="416">
      <c r="V416" s="235"/>
    </row>
    <row r="417">
      <c r="V417" s="235"/>
    </row>
    <row r="418">
      <c r="V418" s="235"/>
    </row>
    <row r="419">
      <c r="V419" s="235"/>
    </row>
    <row r="420">
      <c r="V420" s="235"/>
    </row>
    <row r="421">
      <c r="V421" s="235"/>
    </row>
    <row r="422">
      <c r="V422" s="235"/>
    </row>
    <row r="423">
      <c r="V423" s="235"/>
    </row>
    <row r="424">
      <c r="V424" s="235"/>
    </row>
    <row r="425">
      <c r="V425" s="235"/>
    </row>
    <row r="426">
      <c r="V426" s="235"/>
    </row>
    <row r="427">
      <c r="V427" s="235"/>
    </row>
    <row r="428">
      <c r="V428" s="235"/>
    </row>
    <row r="429">
      <c r="V429" s="235"/>
    </row>
    <row r="430">
      <c r="V430" s="235"/>
    </row>
    <row r="431">
      <c r="V431" s="235"/>
    </row>
    <row r="432">
      <c r="V432" s="235"/>
    </row>
    <row r="433">
      <c r="V433" s="235"/>
    </row>
    <row r="434">
      <c r="V434" s="235"/>
    </row>
    <row r="435">
      <c r="V435" s="235"/>
    </row>
    <row r="436">
      <c r="V436" s="235"/>
    </row>
    <row r="437">
      <c r="V437" s="235"/>
    </row>
    <row r="438">
      <c r="V438" s="235"/>
    </row>
    <row r="439">
      <c r="V439" s="235"/>
    </row>
    <row r="440">
      <c r="V440" s="235"/>
    </row>
    <row r="441">
      <c r="V441" s="235"/>
    </row>
    <row r="442">
      <c r="V442" s="235"/>
    </row>
    <row r="443">
      <c r="V443" s="235"/>
    </row>
    <row r="444">
      <c r="V444" s="235"/>
    </row>
    <row r="445">
      <c r="V445" s="235"/>
    </row>
    <row r="446">
      <c r="V446" s="235"/>
    </row>
    <row r="447">
      <c r="V447" s="235"/>
    </row>
    <row r="448">
      <c r="V448" s="235"/>
    </row>
    <row r="449">
      <c r="V449" s="235"/>
    </row>
    <row r="450">
      <c r="V450" s="235"/>
    </row>
    <row r="451">
      <c r="V451" s="235"/>
    </row>
    <row r="452">
      <c r="V452" s="235"/>
    </row>
    <row r="453">
      <c r="V453" s="235"/>
    </row>
    <row r="454">
      <c r="V454" s="235"/>
    </row>
    <row r="455">
      <c r="V455" s="235"/>
    </row>
    <row r="456">
      <c r="V456" s="235"/>
    </row>
    <row r="457">
      <c r="V457" s="235"/>
    </row>
    <row r="458">
      <c r="V458" s="235"/>
    </row>
    <row r="459">
      <c r="V459" s="235"/>
    </row>
    <row r="460">
      <c r="V460" s="235"/>
    </row>
    <row r="461">
      <c r="V461" s="235"/>
    </row>
    <row r="462">
      <c r="V462" s="235"/>
    </row>
    <row r="463">
      <c r="V463" s="235"/>
    </row>
    <row r="464">
      <c r="V464" s="235"/>
    </row>
    <row r="465">
      <c r="V465" s="235"/>
    </row>
    <row r="466">
      <c r="V466" s="235"/>
    </row>
    <row r="467">
      <c r="V467" s="235"/>
    </row>
    <row r="468">
      <c r="V468" s="235"/>
    </row>
    <row r="469">
      <c r="V469" s="235"/>
    </row>
    <row r="470">
      <c r="V470" s="235"/>
    </row>
    <row r="471">
      <c r="V471" s="235"/>
    </row>
    <row r="472">
      <c r="V472" s="235"/>
    </row>
    <row r="473">
      <c r="V473" s="235"/>
    </row>
    <row r="474">
      <c r="V474" s="235"/>
    </row>
    <row r="475">
      <c r="V475" s="235"/>
    </row>
    <row r="476">
      <c r="V476" s="235"/>
    </row>
    <row r="477">
      <c r="V477" s="235"/>
    </row>
    <row r="478">
      <c r="V478" s="235"/>
    </row>
    <row r="479">
      <c r="V479" s="235"/>
    </row>
    <row r="480">
      <c r="V480" s="235"/>
    </row>
    <row r="481">
      <c r="V481" s="235"/>
    </row>
    <row r="482">
      <c r="V482" s="235"/>
    </row>
    <row r="483">
      <c r="V483" s="235"/>
    </row>
    <row r="484">
      <c r="V484" s="235"/>
    </row>
    <row r="485">
      <c r="V485" s="235"/>
    </row>
    <row r="486">
      <c r="V486" s="235"/>
    </row>
    <row r="487">
      <c r="V487" s="235"/>
    </row>
    <row r="488">
      <c r="V488" s="235"/>
    </row>
    <row r="489">
      <c r="V489" s="235"/>
    </row>
    <row r="490">
      <c r="V490" s="235"/>
    </row>
    <row r="491">
      <c r="V491" s="235"/>
    </row>
    <row r="492">
      <c r="V492" s="235"/>
    </row>
    <row r="493">
      <c r="V493" s="235"/>
    </row>
    <row r="494">
      <c r="V494" s="235"/>
    </row>
    <row r="495">
      <c r="V495" s="235"/>
    </row>
    <row r="496">
      <c r="V496" s="235"/>
    </row>
    <row r="497">
      <c r="V497" s="235"/>
    </row>
    <row r="498">
      <c r="V498" s="235"/>
    </row>
    <row r="499">
      <c r="V499" s="235"/>
    </row>
    <row r="500">
      <c r="V500" s="235"/>
    </row>
    <row r="501">
      <c r="V501" s="235"/>
    </row>
    <row r="502">
      <c r="V502" s="235"/>
    </row>
    <row r="503">
      <c r="V503" s="235"/>
    </row>
    <row r="504">
      <c r="V504" s="235"/>
    </row>
    <row r="505">
      <c r="V505" s="235"/>
    </row>
    <row r="506">
      <c r="V506" s="235"/>
    </row>
    <row r="507">
      <c r="V507" s="235"/>
    </row>
    <row r="508">
      <c r="V508" s="235"/>
    </row>
    <row r="509">
      <c r="V509" s="235"/>
    </row>
    <row r="510">
      <c r="V510" s="235"/>
    </row>
    <row r="511">
      <c r="V511" s="235"/>
    </row>
    <row r="512">
      <c r="V512" s="235"/>
    </row>
    <row r="513">
      <c r="V513" s="235"/>
    </row>
    <row r="514">
      <c r="V514" s="235"/>
    </row>
    <row r="515">
      <c r="V515" s="235"/>
    </row>
    <row r="516">
      <c r="V516" s="235"/>
    </row>
    <row r="517">
      <c r="V517" s="235"/>
    </row>
    <row r="518">
      <c r="V518" s="235"/>
    </row>
    <row r="519">
      <c r="V519" s="235"/>
    </row>
    <row r="520">
      <c r="V520" s="235"/>
    </row>
    <row r="521">
      <c r="V521" s="235"/>
    </row>
    <row r="522">
      <c r="V522" s="235"/>
    </row>
    <row r="523">
      <c r="V523" s="235"/>
    </row>
    <row r="524">
      <c r="V524" s="235"/>
    </row>
    <row r="525">
      <c r="V525" s="235"/>
    </row>
    <row r="526">
      <c r="V526" s="235"/>
    </row>
    <row r="527">
      <c r="V527" s="235"/>
    </row>
    <row r="528">
      <c r="V528" s="235"/>
    </row>
    <row r="529">
      <c r="V529" s="235"/>
    </row>
    <row r="530">
      <c r="V530" s="235"/>
    </row>
    <row r="531">
      <c r="V531" s="235"/>
    </row>
    <row r="532">
      <c r="V532" s="235"/>
    </row>
    <row r="533">
      <c r="V533" s="235"/>
    </row>
    <row r="534">
      <c r="V534" s="235"/>
    </row>
    <row r="535">
      <c r="V535" s="235"/>
    </row>
    <row r="536">
      <c r="V536" s="235"/>
    </row>
    <row r="537">
      <c r="V537" s="235"/>
    </row>
    <row r="538">
      <c r="V538" s="235"/>
    </row>
    <row r="539">
      <c r="V539" s="235"/>
    </row>
    <row r="540">
      <c r="V540" s="235"/>
    </row>
    <row r="541">
      <c r="V541" s="235"/>
    </row>
    <row r="542">
      <c r="V542" s="235"/>
    </row>
    <row r="543">
      <c r="V543" s="235"/>
    </row>
    <row r="544">
      <c r="V544" s="235"/>
    </row>
    <row r="545">
      <c r="V545" s="235"/>
    </row>
    <row r="546">
      <c r="V546" s="235"/>
    </row>
    <row r="547">
      <c r="V547" s="235"/>
    </row>
    <row r="548">
      <c r="V548" s="235"/>
    </row>
    <row r="549">
      <c r="V549" s="235"/>
    </row>
    <row r="550">
      <c r="V550" s="235"/>
    </row>
    <row r="551">
      <c r="V551" s="235"/>
    </row>
    <row r="552">
      <c r="V552" s="235"/>
    </row>
    <row r="553">
      <c r="V553" s="235"/>
    </row>
    <row r="554">
      <c r="V554" s="235"/>
    </row>
    <row r="555">
      <c r="V555" s="235"/>
    </row>
    <row r="556">
      <c r="V556" s="235"/>
    </row>
    <row r="557">
      <c r="V557" s="235"/>
    </row>
    <row r="558">
      <c r="V558" s="235"/>
    </row>
    <row r="559">
      <c r="V559" s="235"/>
    </row>
    <row r="560">
      <c r="V560" s="235"/>
    </row>
    <row r="561">
      <c r="V561" s="235"/>
    </row>
    <row r="562">
      <c r="V562" s="235"/>
    </row>
    <row r="563">
      <c r="V563" s="235"/>
    </row>
    <row r="564">
      <c r="V564" s="235"/>
    </row>
    <row r="565">
      <c r="V565" s="235"/>
    </row>
    <row r="566">
      <c r="V566" s="235"/>
    </row>
    <row r="567">
      <c r="V567" s="235"/>
    </row>
    <row r="568">
      <c r="V568" s="235"/>
    </row>
    <row r="569">
      <c r="V569" s="235"/>
    </row>
    <row r="570">
      <c r="V570" s="235"/>
    </row>
    <row r="571">
      <c r="V571" s="235"/>
    </row>
    <row r="572">
      <c r="V572" s="235"/>
    </row>
    <row r="573">
      <c r="V573" s="235"/>
    </row>
    <row r="574">
      <c r="V574" s="235"/>
    </row>
    <row r="575">
      <c r="V575" s="235"/>
    </row>
    <row r="576">
      <c r="V576" s="235"/>
    </row>
    <row r="577">
      <c r="V577" s="235"/>
    </row>
    <row r="578">
      <c r="V578" s="235"/>
    </row>
    <row r="579">
      <c r="V579" s="235"/>
    </row>
    <row r="580">
      <c r="V580" s="235"/>
    </row>
    <row r="581">
      <c r="V581" s="235"/>
    </row>
    <row r="582">
      <c r="V582" s="235"/>
    </row>
    <row r="583">
      <c r="V583" s="235"/>
    </row>
    <row r="584">
      <c r="V584" s="235"/>
    </row>
    <row r="585">
      <c r="V585" s="235"/>
    </row>
    <row r="586">
      <c r="V586" s="235"/>
    </row>
    <row r="587">
      <c r="V587" s="235"/>
    </row>
    <row r="588">
      <c r="V588" s="235"/>
    </row>
    <row r="589">
      <c r="V589" s="235"/>
    </row>
    <row r="590">
      <c r="V590" s="235"/>
    </row>
    <row r="591">
      <c r="V591" s="235"/>
    </row>
    <row r="592">
      <c r="V592" s="235"/>
    </row>
    <row r="593">
      <c r="V593" s="235"/>
    </row>
    <row r="594">
      <c r="V594" s="235"/>
    </row>
    <row r="595">
      <c r="V595" s="235"/>
    </row>
    <row r="596">
      <c r="V596" s="235"/>
    </row>
    <row r="597">
      <c r="V597" s="235"/>
    </row>
    <row r="598">
      <c r="V598" s="235"/>
    </row>
    <row r="599">
      <c r="V599" s="235"/>
    </row>
    <row r="600">
      <c r="V600" s="235"/>
    </row>
    <row r="601">
      <c r="V601" s="235"/>
    </row>
    <row r="602">
      <c r="V602" s="235"/>
    </row>
    <row r="603">
      <c r="V603" s="235"/>
    </row>
    <row r="604">
      <c r="V604" s="235"/>
    </row>
    <row r="605">
      <c r="V605" s="235"/>
    </row>
    <row r="606">
      <c r="V606" s="235"/>
    </row>
    <row r="607">
      <c r="V607" s="235"/>
    </row>
    <row r="608">
      <c r="V608" s="235"/>
    </row>
    <row r="609">
      <c r="V609" s="235"/>
    </row>
    <row r="610">
      <c r="V610" s="235"/>
    </row>
    <row r="611">
      <c r="V611" s="235"/>
    </row>
    <row r="612">
      <c r="V612" s="235"/>
    </row>
    <row r="613">
      <c r="V613" s="235"/>
    </row>
    <row r="614">
      <c r="V614" s="235"/>
    </row>
    <row r="615">
      <c r="V615" s="235"/>
    </row>
    <row r="616">
      <c r="V616" s="235"/>
    </row>
    <row r="617">
      <c r="V617" s="235"/>
    </row>
    <row r="618">
      <c r="V618" s="235"/>
    </row>
    <row r="619">
      <c r="V619" s="235"/>
    </row>
    <row r="620">
      <c r="V620" s="235"/>
    </row>
    <row r="621">
      <c r="V621" s="235"/>
    </row>
    <row r="622">
      <c r="V622" s="235"/>
    </row>
    <row r="623">
      <c r="V623" s="235"/>
    </row>
    <row r="624">
      <c r="V624" s="235"/>
    </row>
    <row r="625">
      <c r="V625" s="235"/>
    </row>
    <row r="626">
      <c r="V626" s="235"/>
    </row>
    <row r="627">
      <c r="V627" s="235"/>
    </row>
    <row r="628">
      <c r="V628" s="235"/>
    </row>
    <row r="629">
      <c r="V629" s="235"/>
    </row>
    <row r="630">
      <c r="V630" s="235"/>
    </row>
    <row r="631">
      <c r="V631" s="235"/>
    </row>
    <row r="632">
      <c r="V632" s="235"/>
    </row>
    <row r="633">
      <c r="V633" s="235"/>
    </row>
    <row r="634">
      <c r="V634" s="235"/>
    </row>
    <row r="635">
      <c r="V635" s="235"/>
    </row>
    <row r="636">
      <c r="V636" s="235"/>
    </row>
    <row r="637">
      <c r="V637" s="235"/>
    </row>
    <row r="638">
      <c r="V638" s="235"/>
    </row>
    <row r="639">
      <c r="V639" s="235"/>
    </row>
    <row r="640">
      <c r="V640" s="235"/>
    </row>
    <row r="641">
      <c r="V641" s="235"/>
    </row>
    <row r="642">
      <c r="V642" s="235"/>
    </row>
    <row r="643">
      <c r="V643" s="235"/>
    </row>
    <row r="644">
      <c r="V644" s="235"/>
    </row>
    <row r="645">
      <c r="V645" s="235"/>
    </row>
    <row r="646">
      <c r="V646" s="235"/>
    </row>
    <row r="647">
      <c r="V647" s="235"/>
    </row>
    <row r="648">
      <c r="V648" s="235"/>
    </row>
    <row r="649">
      <c r="V649" s="235"/>
    </row>
    <row r="650">
      <c r="V650" s="235"/>
    </row>
    <row r="651">
      <c r="V651" s="235"/>
    </row>
    <row r="652">
      <c r="V652" s="235"/>
    </row>
    <row r="653">
      <c r="V653" s="235"/>
    </row>
    <row r="654">
      <c r="V654" s="235"/>
    </row>
    <row r="655">
      <c r="V655" s="235"/>
    </row>
    <row r="656">
      <c r="V656" s="235"/>
    </row>
    <row r="657">
      <c r="V657" s="235"/>
    </row>
    <row r="658">
      <c r="V658" s="235"/>
    </row>
    <row r="659">
      <c r="V659" s="235"/>
    </row>
    <row r="660">
      <c r="V660" s="235"/>
    </row>
    <row r="661">
      <c r="V661" s="235"/>
    </row>
    <row r="662">
      <c r="V662" s="235"/>
    </row>
    <row r="663">
      <c r="V663" s="235"/>
    </row>
    <row r="664">
      <c r="V664" s="235"/>
    </row>
    <row r="665">
      <c r="V665" s="235"/>
    </row>
    <row r="666">
      <c r="V666" s="235"/>
    </row>
    <row r="667">
      <c r="V667" s="235"/>
    </row>
    <row r="668">
      <c r="V668" s="235"/>
    </row>
    <row r="669">
      <c r="V669" s="235"/>
    </row>
    <row r="670">
      <c r="V670" s="235"/>
    </row>
    <row r="671">
      <c r="V671" s="235"/>
    </row>
    <row r="672">
      <c r="V672" s="235"/>
    </row>
    <row r="673">
      <c r="V673" s="235"/>
    </row>
    <row r="674">
      <c r="V674" s="235"/>
    </row>
    <row r="675">
      <c r="V675" s="235"/>
    </row>
    <row r="676">
      <c r="V676" s="235"/>
    </row>
    <row r="677">
      <c r="V677" s="235"/>
    </row>
    <row r="678">
      <c r="V678" s="235"/>
    </row>
    <row r="679">
      <c r="V679" s="235"/>
    </row>
    <row r="680">
      <c r="V680" s="235"/>
    </row>
    <row r="681">
      <c r="V681" s="235"/>
    </row>
    <row r="682">
      <c r="V682" s="235"/>
    </row>
    <row r="683">
      <c r="V683" s="235"/>
    </row>
    <row r="684">
      <c r="V684" s="235"/>
    </row>
    <row r="685">
      <c r="V685" s="235"/>
    </row>
    <row r="686">
      <c r="V686" s="235"/>
    </row>
    <row r="687">
      <c r="V687" s="235"/>
    </row>
    <row r="688">
      <c r="V688" s="235"/>
    </row>
    <row r="689">
      <c r="V689" s="235"/>
    </row>
    <row r="690">
      <c r="V690" s="235"/>
    </row>
    <row r="691">
      <c r="V691" s="235"/>
    </row>
    <row r="692">
      <c r="V692" s="235"/>
    </row>
    <row r="693">
      <c r="V693" s="235"/>
    </row>
    <row r="694">
      <c r="V694" s="235"/>
    </row>
    <row r="695">
      <c r="V695" s="235"/>
    </row>
    <row r="696">
      <c r="V696" s="235"/>
    </row>
    <row r="697">
      <c r="V697" s="235"/>
    </row>
    <row r="698">
      <c r="V698" s="235"/>
    </row>
    <row r="699">
      <c r="V699" s="235"/>
    </row>
    <row r="700">
      <c r="V700" s="235"/>
    </row>
    <row r="701">
      <c r="V701" s="235"/>
    </row>
    <row r="702">
      <c r="V702" s="235"/>
    </row>
    <row r="703">
      <c r="V703" s="235"/>
    </row>
    <row r="704">
      <c r="V704" s="235"/>
    </row>
    <row r="705">
      <c r="V705" s="235"/>
    </row>
    <row r="706">
      <c r="V706" s="235"/>
    </row>
    <row r="707">
      <c r="V707" s="235"/>
    </row>
    <row r="708">
      <c r="V708" s="235"/>
    </row>
    <row r="709">
      <c r="V709" s="235"/>
    </row>
    <row r="710">
      <c r="V710" s="235"/>
    </row>
    <row r="711">
      <c r="V711" s="235"/>
    </row>
    <row r="712">
      <c r="V712" s="235"/>
    </row>
    <row r="713">
      <c r="V713" s="235"/>
    </row>
    <row r="714">
      <c r="V714" s="235"/>
    </row>
    <row r="715">
      <c r="V715" s="235"/>
    </row>
    <row r="716">
      <c r="V716" s="235"/>
    </row>
    <row r="717">
      <c r="V717" s="235"/>
    </row>
    <row r="718">
      <c r="V718" s="235"/>
    </row>
    <row r="719">
      <c r="V719" s="235"/>
    </row>
    <row r="720">
      <c r="V720" s="235"/>
    </row>
    <row r="721">
      <c r="V721" s="235"/>
    </row>
    <row r="722">
      <c r="V722" s="235"/>
    </row>
    <row r="723">
      <c r="V723" s="235"/>
    </row>
    <row r="724">
      <c r="V724" s="235"/>
    </row>
    <row r="725">
      <c r="V725" s="235"/>
    </row>
    <row r="726">
      <c r="V726" s="235"/>
    </row>
    <row r="727">
      <c r="V727" s="235"/>
    </row>
    <row r="728">
      <c r="V728" s="235"/>
    </row>
    <row r="729">
      <c r="V729" s="235"/>
    </row>
    <row r="730">
      <c r="V730" s="235"/>
    </row>
    <row r="731">
      <c r="V731" s="235"/>
    </row>
    <row r="732">
      <c r="V732" s="235"/>
    </row>
    <row r="733">
      <c r="V733" s="235"/>
    </row>
    <row r="734">
      <c r="V734" s="235"/>
    </row>
    <row r="735">
      <c r="V735" s="235"/>
    </row>
    <row r="736">
      <c r="V736" s="235"/>
    </row>
    <row r="737">
      <c r="V737" s="235"/>
    </row>
    <row r="738">
      <c r="V738" s="235"/>
    </row>
    <row r="739">
      <c r="V739" s="235"/>
    </row>
    <row r="740">
      <c r="V740" s="235"/>
    </row>
    <row r="741">
      <c r="V741" s="235"/>
    </row>
    <row r="742">
      <c r="V742" s="235"/>
    </row>
    <row r="743">
      <c r="V743" s="235"/>
    </row>
    <row r="744">
      <c r="V744" s="235"/>
    </row>
    <row r="745">
      <c r="V745" s="235"/>
    </row>
    <row r="746">
      <c r="V746" s="235"/>
    </row>
    <row r="747">
      <c r="V747" s="235"/>
    </row>
    <row r="748">
      <c r="V748" s="235"/>
    </row>
    <row r="749">
      <c r="V749" s="235"/>
    </row>
    <row r="750">
      <c r="V750" s="235"/>
    </row>
    <row r="751">
      <c r="V751" s="235"/>
    </row>
    <row r="752">
      <c r="V752" s="235"/>
    </row>
    <row r="753">
      <c r="V753" s="235"/>
    </row>
    <row r="754">
      <c r="V754" s="235"/>
    </row>
    <row r="755">
      <c r="V755" s="235"/>
    </row>
    <row r="756">
      <c r="V756" s="235"/>
    </row>
    <row r="757">
      <c r="V757" s="235"/>
    </row>
    <row r="758">
      <c r="V758" s="235"/>
    </row>
    <row r="759">
      <c r="V759" s="235"/>
    </row>
    <row r="760">
      <c r="V760" s="235"/>
    </row>
    <row r="761">
      <c r="V761" s="235"/>
    </row>
    <row r="762">
      <c r="V762" s="235"/>
    </row>
    <row r="763">
      <c r="V763" s="235"/>
    </row>
    <row r="764">
      <c r="V764" s="235"/>
    </row>
    <row r="765">
      <c r="V765" s="235"/>
    </row>
    <row r="766">
      <c r="V766" s="235"/>
    </row>
    <row r="767">
      <c r="V767" s="235"/>
    </row>
    <row r="768">
      <c r="V768" s="235"/>
    </row>
    <row r="769">
      <c r="V769" s="235"/>
    </row>
    <row r="770">
      <c r="V770" s="235"/>
    </row>
    <row r="771">
      <c r="V771" s="235"/>
    </row>
    <row r="772">
      <c r="V772" s="235"/>
    </row>
    <row r="773">
      <c r="V773" s="235"/>
    </row>
    <row r="774">
      <c r="V774" s="235"/>
    </row>
    <row r="775">
      <c r="V775" s="235"/>
    </row>
    <row r="776">
      <c r="V776" s="235"/>
    </row>
    <row r="777">
      <c r="V777" s="235"/>
    </row>
    <row r="778">
      <c r="V778" s="235"/>
    </row>
    <row r="779">
      <c r="V779" s="235"/>
    </row>
    <row r="780">
      <c r="V780" s="235"/>
    </row>
    <row r="781">
      <c r="V781" s="235"/>
    </row>
    <row r="782">
      <c r="V782" s="235"/>
    </row>
    <row r="783">
      <c r="V783" s="235"/>
    </row>
    <row r="784">
      <c r="V784" s="235"/>
    </row>
    <row r="785">
      <c r="V785" s="235"/>
    </row>
    <row r="786">
      <c r="V786" s="235"/>
    </row>
    <row r="787">
      <c r="V787" s="235"/>
    </row>
    <row r="788">
      <c r="V788" s="235"/>
    </row>
    <row r="789">
      <c r="V789" s="235"/>
    </row>
    <row r="790">
      <c r="V790" s="235"/>
    </row>
    <row r="791">
      <c r="V791" s="235"/>
    </row>
    <row r="792">
      <c r="V792" s="235"/>
    </row>
    <row r="793">
      <c r="V793" s="235"/>
    </row>
    <row r="794">
      <c r="V794" s="235"/>
    </row>
    <row r="795">
      <c r="V795" s="235"/>
    </row>
    <row r="796">
      <c r="V796" s="235"/>
    </row>
    <row r="797">
      <c r="V797" s="235"/>
    </row>
    <row r="798">
      <c r="V798" s="235"/>
    </row>
    <row r="799">
      <c r="V799" s="235"/>
    </row>
    <row r="800">
      <c r="V800" s="235"/>
    </row>
    <row r="801">
      <c r="V801" s="235"/>
    </row>
    <row r="802">
      <c r="V802" s="235"/>
    </row>
    <row r="803">
      <c r="V803" s="235"/>
    </row>
    <row r="804">
      <c r="V804" s="235"/>
    </row>
    <row r="805">
      <c r="V805" s="235"/>
    </row>
    <row r="806">
      <c r="V806" s="235"/>
    </row>
    <row r="807">
      <c r="V807" s="235"/>
    </row>
    <row r="808">
      <c r="V808" s="235"/>
    </row>
    <row r="809">
      <c r="V809" s="235"/>
    </row>
    <row r="810">
      <c r="V810" s="235"/>
    </row>
    <row r="811">
      <c r="V811" s="235"/>
    </row>
    <row r="812">
      <c r="V812" s="235"/>
    </row>
    <row r="813">
      <c r="V813" s="235"/>
    </row>
    <row r="814">
      <c r="V814" s="235"/>
    </row>
    <row r="815">
      <c r="V815" s="235"/>
    </row>
    <row r="816">
      <c r="V816" s="235"/>
    </row>
    <row r="817">
      <c r="V817" s="235"/>
    </row>
    <row r="818">
      <c r="V818" s="235"/>
    </row>
    <row r="819">
      <c r="V819" s="235"/>
    </row>
    <row r="820">
      <c r="V820" s="235"/>
    </row>
    <row r="821">
      <c r="V821" s="235"/>
    </row>
    <row r="822">
      <c r="V822" s="235"/>
    </row>
    <row r="823">
      <c r="V823" s="235"/>
    </row>
    <row r="824">
      <c r="V824" s="235"/>
    </row>
    <row r="825">
      <c r="V825" s="235"/>
    </row>
    <row r="826">
      <c r="V826" s="235"/>
    </row>
    <row r="827">
      <c r="V827" s="235"/>
    </row>
    <row r="828">
      <c r="V828" s="235"/>
    </row>
    <row r="829">
      <c r="V829" s="235"/>
    </row>
    <row r="830">
      <c r="V830" s="235"/>
    </row>
    <row r="831">
      <c r="V831" s="235"/>
    </row>
    <row r="832">
      <c r="V832" s="235"/>
    </row>
    <row r="833">
      <c r="V833" s="235"/>
    </row>
    <row r="834">
      <c r="V834" s="235"/>
    </row>
    <row r="835">
      <c r="V835" s="235"/>
    </row>
    <row r="836">
      <c r="V836" s="235"/>
    </row>
    <row r="837">
      <c r="V837" s="235"/>
    </row>
    <row r="838">
      <c r="V838" s="235"/>
    </row>
    <row r="839">
      <c r="V839" s="235"/>
    </row>
    <row r="840">
      <c r="V840" s="235"/>
    </row>
    <row r="841">
      <c r="V841" s="235"/>
    </row>
    <row r="842">
      <c r="V842" s="235"/>
    </row>
    <row r="843">
      <c r="V843" s="235"/>
    </row>
    <row r="844">
      <c r="V844" s="235"/>
    </row>
    <row r="845">
      <c r="V845" s="235"/>
    </row>
    <row r="846">
      <c r="V846" s="235"/>
    </row>
    <row r="847">
      <c r="V847" s="235"/>
    </row>
    <row r="848">
      <c r="V848" s="235"/>
    </row>
    <row r="849">
      <c r="V849" s="235"/>
    </row>
    <row r="850">
      <c r="V850" s="235"/>
    </row>
    <row r="851">
      <c r="V851" s="235"/>
    </row>
    <row r="852">
      <c r="V852" s="235"/>
    </row>
    <row r="853">
      <c r="V853" s="235"/>
    </row>
    <row r="854">
      <c r="V854" s="235"/>
    </row>
    <row r="855">
      <c r="V855" s="235"/>
    </row>
    <row r="856">
      <c r="V856" s="235"/>
    </row>
    <row r="857">
      <c r="V857" s="235"/>
    </row>
    <row r="858">
      <c r="V858" s="235"/>
    </row>
    <row r="859">
      <c r="V859" s="235"/>
    </row>
    <row r="860">
      <c r="V860" s="235"/>
    </row>
    <row r="861">
      <c r="V861" s="235"/>
    </row>
    <row r="862">
      <c r="V862" s="235"/>
    </row>
    <row r="863">
      <c r="V863" s="235"/>
    </row>
    <row r="864">
      <c r="V864" s="235"/>
    </row>
    <row r="865">
      <c r="V865" s="235"/>
    </row>
    <row r="866">
      <c r="V866" s="235"/>
    </row>
    <row r="867">
      <c r="V867" s="235"/>
    </row>
    <row r="868">
      <c r="V868" s="235"/>
    </row>
    <row r="869">
      <c r="V869" s="235"/>
    </row>
    <row r="870">
      <c r="V870" s="235"/>
    </row>
    <row r="871">
      <c r="V871" s="235"/>
    </row>
    <row r="872">
      <c r="V872" s="235"/>
    </row>
    <row r="873">
      <c r="V873" s="235"/>
    </row>
    <row r="874">
      <c r="V874" s="235"/>
    </row>
    <row r="875">
      <c r="V875" s="235"/>
    </row>
    <row r="876">
      <c r="V876" s="235"/>
    </row>
    <row r="877">
      <c r="V877" s="235"/>
    </row>
    <row r="878">
      <c r="V878" s="235"/>
    </row>
    <row r="879">
      <c r="V879" s="235"/>
    </row>
    <row r="880">
      <c r="V880" s="235"/>
    </row>
    <row r="881">
      <c r="V881" s="235"/>
    </row>
    <row r="882">
      <c r="V882" s="235"/>
    </row>
    <row r="883">
      <c r="V883" s="235"/>
    </row>
    <row r="884">
      <c r="V884" s="235"/>
    </row>
    <row r="885">
      <c r="V885" s="235"/>
    </row>
    <row r="886">
      <c r="V886" s="235"/>
    </row>
    <row r="887">
      <c r="V887" s="235"/>
    </row>
    <row r="888">
      <c r="V888" s="235"/>
    </row>
    <row r="889">
      <c r="V889" s="235"/>
    </row>
    <row r="890">
      <c r="V890" s="235"/>
    </row>
    <row r="891">
      <c r="V891" s="235"/>
    </row>
    <row r="892">
      <c r="V892" s="235"/>
    </row>
    <row r="893">
      <c r="V893" s="235"/>
    </row>
    <row r="894">
      <c r="V894" s="235"/>
    </row>
    <row r="895">
      <c r="V895" s="235"/>
    </row>
    <row r="896">
      <c r="V896" s="235"/>
    </row>
    <row r="897">
      <c r="V897" s="235"/>
    </row>
    <row r="898">
      <c r="V898" s="235"/>
    </row>
    <row r="899">
      <c r="V899" s="235"/>
    </row>
    <row r="900">
      <c r="V900" s="235"/>
    </row>
    <row r="901">
      <c r="V901" s="235"/>
    </row>
    <row r="902">
      <c r="V902" s="235"/>
    </row>
    <row r="903">
      <c r="V903" s="235"/>
    </row>
    <row r="904">
      <c r="V904" s="235"/>
    </row>
    <row r="905">
      <c r="V905" s="235"/>
    </row>
    <row r="906">
      <c r="V906" s="235"/>
    </row>
    <row r="907">
      <c r="V907" s="235"/>
    </row>
    <row r="908">
      <c r="V908" s="235"/>
    </row>
    <row r="909">
      <c r="V909" s="235"/>
    </row>
    <row r="910">
      <c r="V910" s="235"/>
    </row>
    <row r="911">
      <c r="V911" s="235"/>
    </row>
    <row r="912">
      <c r="V912" s="235"/>
    </row>
    <row r="913">
      <c r="V913" s="235"/>
    </row>
    <row r="914">
      <c r="V914" s="235"/>
    </row>
    <row r="915">
      <c r="V915" s="235"/>
    </row>
    <row r="916">
      <c r="V916" s="235"/>
    </row>
    <row r="917">
      <c r="V917" s="235"/>
    </row>
    <row r="918">
      <c r="V918" s="235"/>
    </row>
    <row r="919">
      <c r="V919" s="235"/>
    </row>
    <row r="920">
      <c r="V920" s="235"/>
    </row>
    <row r="921">
      <c r="V921" s="235"/>
    </row>
    <row r="922">
      <c r="V922" s="235"/>
    </row>
    <row r="923">
      <c r="V923" s="235"/>
    </row>
    <row r="924">
      <c r="V924" s="235"/>
    </row>
    <row r="925">
      <c r="V925" s="235"/>
    </row>
    <row r="926">
      <c r="V926" s="235"/>
    </row>
    <row r="927">
      <c r="V927" s="235"/>
    </row>
    <row r="928">
      <c r="V928" s="235"/>
    </row>
    <row r="929">
      <c r="V929" s="235"/>
    </row>
    <row r="930">
      <c r="V930" s="235"/>
    </row>
    <row r="931">
      <c r="V931" s="235"/>
    </row>
    <row r="932">
      <c r="V932" s="235"/>
    </row>
    <row r="933">
      <c r="V933" s="235"/>
    </row>
    <row r="934">
      <c r="V934" s="235"/>
    </row>
    <row r="935">
      <c r="V935" s="235"/>
    </row>
    <row r="936">
      <c r="V936" s="235"/>
    </row>
    <row r="937">
      <c r="V937" s="235"/>
    </row>
    <row r="938">
      <c r="V938" s="235"/>
    </row>
    <row r="939">
      <c r="V939" s="235"/>
    </row>
    <row r="940">
      <c r="V940" s="235"/>
    </row>
    <row r="941">
      <c r="V941" s="235"/>
    </row>
    <row r="942">
      <c r="V942" s="235"/>
    </row>
    <row r="943">
      <c r="V943" s="235"/>
    </row>
    <row r="944">
      <c r="V944" s="235"/>
    </row>
    <row r="945">
      <c r="V945" s="235"/>
    </row>
    <row r="946">
      <c r="V946" s="235"/>
    </row>
    <row r="947">
      <c r="V947" s="235"/>
    </row>
    <row r="948">
      <c r="V948" s="235"/>
    </row>
    <row r="949">
      <c r="V949" s="235"/>
    </row>
    <row r="950">
      <c r="V950" s="235"/>
    </row>
    <row r="951">
      <c r="V951" s="235"/>
    </row>
    <row r="952">
      <c r="V952" s="235"/>
    </row>
    <row r="953">
      <c r="V953" s="235"/>
    </row>
    <row r="954">
      <c r="V954" s="235"/>
    </row>
    <row r="955">
      <c r="V955" s="235"/>
    </row>
    <row r="956">
      <c r="V956" s="235"/>
    </row>
    <row r="957">
      <c r="V957" s="235"/>
    </row>
    <row r="958">
      <c r="V958" s="235"/>
    </row>
    <row r="959">
      <c r="V959" s="235"/>
    </row>
    <row r="960">
      <c r="V960" s="235"/>
    </row>
    <row r="961">
      <c r="V961" s="235"/>
    </row>
    <row r="962">
      <c r="V962" s="235"/>
    </row>
    <row r="963">
      <c r="V963" s="235"/>
    </row>
    <row r="964">
      <c r="V964" s="235"/>
    </row>
    <row r="965">
      <c r="V965" s="235"/>
    </row>
    <row r="966">
      <c r="V966" s="235"/>
    </row>
    <row r="967">
      <c r="V967" s="235"/>
    </row>
    <row r="968">
      <c r="V968" s="235"/>
    </row>
    <row r="969">
      <c r="V969" s="235"/>
    </row>
    <row r="970">
      <c r="V970" s="235"/>
    </row>
    <row r="971">
      <c r="V971" s="235"/>
    </row>
    <row r="972">
      <c r="V972" s="235"/>
    </row>
    <row r="973">
      <c r="V973" s="235"/>
    </row>
    <row r="974">
      <c r="V974" s="235"/>
    </row>
    <row r="975">
      <c r="V975" s="235"/>
    </row>
    <row r="976">
      <c r="V976" s="235"/>
    </row>
    <row r="977">
      <c r="V977" s="235"/>
    </row>
    <row r="978">
      <c r="V978" s="235"/>
    </row>
    <row r="979">
      <c r="V979" s="235"/>
    </row>
    <row r="980">
      <c r="V980" s="235"/>
    </row>
    <row r="981">
      <c r="V981" s="235"/>
    </row>
    <row r="982">
      <c r="V982" s="235"/>
    </row>
    <row r="983">
      <c r="V983" s="235"/>
    </row>
    <row r="984">
      <c r="V984" s="235"/>
    </row>
    <row r="985">
      <c r="V985" s="235"/>
    </row>
    <row r="986">
      <c r="V986" s="235"/>
    </row>
    <row r="987">
      <c r="V987" s="235"/>
    </row>
    <row r="988">
      <c r="V988" s="235"/>
    </row>
    <row r="989">
      <c r="V989" s="235"/>
    </row>
    <row r="990">
      <c r="V990" s="235"/>
    </row>
    <row r="991">
      <c r="V991" s="235"/>
    </row>
    <row r="992">
      <c r="V992" s="235"/>
    </row>
    <row r="993">
      <c r="V993" s="235"/>
    </row>
    <row r="994">
      <c r="V994" s="235"/>
    </row>
    <row r="995">
      <c r="V995" s="235"/>
    </row>
    <row r="996">
      <c r="V996" s="235"/>
    </row>
  </sheetData>
  <mergeCells count="36">
    <mergeCell ref="A2:B2"/>
    <mergeCell ref="A4:B4"/>
    <mergeCell ref="W6:X6"/>
    <mergeCell ref="Y6:Z6"/>
    <mergeCell ref="AA6:AH6"/>
    <mergeCell ref="Y7:Z7"/>
    <mergeCell ref="AA7:AH7"/>
    <mergeCell ref="W7:X7"/>
    <mergeCell ref="W8:X8"/>
    <mergeCell ref="Y8:Z8"/>
    <mergeCell ref="AA8:AH10"/>
    <mergeCell ref="W9:X9"/>
    <mergeCell ref="Y9:Z9"/>
    <mergeCell ref="Y10:Z10"/>
    <mergeCell ref="AC11:AD11"/>
    <mergeCell ref="AC18:AD18"/>
    <mergeCell ref="AC19:AD20"/>
    <mergeCell ref="W10:X10"/>
    <mergeCell ref="W11:X11"/>
    <mergeCell ref="W12:X12"/>
    <mergeCell ref="AC12:AD17"/>
    <mergeCell ref="W13:X13"/>
    <mergeCell ref="W14:X14"/>
    <mergeCell ref="W15:X15"/>
    <mergeCell ref="W23:X23"/>
    <mergeCell ref="W24:X24"/>
    <mergeCell ref="W25:X25"/>
    <mergeCell ref="W26:AH26"/>
    <mergeCell ref="W27:AH29"/>
    <mergeCell ref="W16:X16"/>
    <mergeCell ref="W17:X17"/>
    <mergeCell ref="W18:X18"/>
    <mergeCell ref="W19:X19"/>
    <mergeCell ref="W20:X20"/>
    <mergeCell ref="W21:X21"/>
    <mergeCell ref="W22:X22"/>
  </mergeCells>
  <dataValidations>
    <dataValidation type="list" allowBlank="1" showErrorMessage="1" sqref="A2">
      <formula1>"Delete Chamber"</formula1>
    </dataValidation>
    <dataValidation type="list" allowBlank="1" showErrorMessage="1" sqref="Y6">
      <formula1>"Input Class,1,2,3,4"</formula1>
    </dataValidation>
    <dataValidation type="list" allowBlank="1" showErrorMessage="1" sqref="A4">
      <formula1>"Delete Tab,Refresh List"</formula1>
    </dataValidation>
  </dataValidations>
  <drawing r:id="rId1"/>
</worksheet>
</file>